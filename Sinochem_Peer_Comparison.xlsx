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orecard" sheetId="2" state="visible" r:id="rId4"/>
    <sheet name="Energy" sheetId="3" state="visible" r:id="rId5"/>
    <sheet name="Agriculture" sheetId="4" state="visible" r:id="rId6"/>
    <sheet name="Rubber" sheetId="5" state="visible" r:id="rId7"/>
    <sheet name="H1-2026 momentum" sheetId="6" state="visible" r:id="rId8"/>
    <sheet name="Group context" sheetId="7" state="visible" r:id="rId9"/>
    <sheet name="Data" sheetId="8" state="visible" r:id="rId10"/>
    <sheet name="FX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<sst xmlns="http://schemas.openxmlformats.org/spreadsheetml/2006/main" count="788" uniqueCount="379">
  <si>
    <t xml:space="preserve">Sinochem Holdings - sector peer comparison (Energy, Agriculture, Rubber)</t>
  </si>
  <si>
    <t xml:space="preserve">Prepared 12 Oct 2026. Basis: fiscal year ended 31 Dec 2025 (audited / filed), with H1 2026 momentum where available.</t>
  </si>
  <si>
    <t xml:space="preserve">How to read this workbook</t>
  </si>
  <si>
    <t xml:space="preserve">Scorecard - rank of each Sinochem entity against its peer group on nine headline metrics (live formulas).</t>
  </si>
  <si>
    <t xml:space="preserve">Energy / Agriculture / Rubber - full ratio matrices, peer median/high/low, sub-group medians, and anchor-minus-median row (green = better, red = worse).</t>
  </si>
  <si>
    <t xml:space="preserve">H1-2026 momentum - first-half 2026 vs first-half 2025 revenue and net income.</t>
  </si>
  <si>
    <t xml:space="preserve">Group context - disclosed Sinochem-level data (Sinochem Corp, Sinochem Energy segments, Syngenta Group, Pirelli).</t>
  </si>
  <si>
    <t xml:space="preserve">Data - standardised inputs (blue) with the FY2024 comparatives used for growth and averages; FX - editable USD translation rates.</t>
  </si>
  <si>
    <t xml:space="preserve">What 'Sinochem' means here</t>
  </si>
  <si>
    <r>
      <rPr>
        <sz val="11"/>
        <color theme="1"/>
        <rFont val="Calibri"/>
        <family val="2"/>
        <charset val="1"/>
      </rPr>
      <t xml:space="preserve">Sinochem Holdings (</t>
    </r>
    <r>
      <rPr>
        <sz val="11"/>
        <color theme="1"/>
        <rFont val="WenQuanYi Zen Hei"/>
        <family val="2"/>
      </rPr>
      <t xml:space="preserve">中国中化控股</t>
    </r>
    <r>
      <rPr>
        <sz val="11"/>
        <color theme="1"/>
        <rFont val="Calibri"/>
        <family val="2"/>
        <charset val="1"/>
      </rPr>
      <t xml:space="preserve">) is a state-owned, unlisted group; it publishes no consolidated sector split. Each sector is therefore anchored on the group's operating entities that DO disclose full financials:</t>
    </r>
  </si>
  <si>
    <r>
      <rPr>
        <sz val="11"/>
        <color theme="1"/>
        <rFont val="Calibri"/>
        <family val="2"/>
        <charset val="1"/>
      </rPr>
      <t xml:space="preserve">  Energy: Sinochem Energy (</t>
    </r>
    <r>
      <rPr>
        <sz val="11"/>
        <color theme="1"/>
        <rFont val="WenQuanYi Zen Hei"/>
        <family val="2"/>
      </rPr>
      <t xml:space="preserve">中化能源</t>
    </r>
    <r>
      <rPr>
        <sz val="11"/>
        <color theme="1"/>
        <rFont val="Calibri"/>
        <family val="2"/>
        <charset val="1"/>
      </rPr>
      <t xml:space="preserve">), the petrochemical segment's operating company (trading + 15 mt/y refining capacity centred on Quanzhou + retail).</t>
    </r>
  </si>
  <si>
    <t xml:space="preserve">  Agriculture: Syngenta AG (global crop protection + seeds) with ADAMA, Yangnong and Sinofert as additional group entities; Syngenta Group headline sales/EBITDA in 'Group context'.</t>
  </si>
  <si>
    <t xml:space="preserve">  Rubber: Pirelli (Sinochem holds ~34.1%; Pirelli's accounts say no entity controls it, so it is not consolidated by Sinochem) and Aeolus Tyre. Sinochem International agreed in Nov 2022 to sell 36% of Halcyon Agri (natural rubber) to Hainan Rubber (completion not verified here).</t>
  </si>
  <si>
    <t xml:space="preserve">Definitions (applied identically to every company)</t>
  </si>
  <si>
    <t xml:space="preserve">EBIT = operating profit before financing as reported (China GAAP: operating profit + net finance expense; IFRS/US GAAP: reported operating income or closest equivalent; Corteva: pre-tax profit + interest expense).</t>
  </si>
  <si>
    <t xml:space="preserve">EBITDA = EBIT + depreciation &amp; amortisation; reported basis, NOT adjusted for impairments, restructuring or litigation (so it will differ from company 'adjusted EBITDA').</t>
  </si>
  <si>
    <t xml:space="preserve">Debt = bank borrowings + bonds + lease liabilities (US GAAP filers exclude operating leases). Net debt = Debt - cash (no credit for deposits or other financial assets).</t>
  </si>
  <si>
    <t xml:space="preserve">ROE / ROA use net income (incl. minorities) over the average of opening and closing total equity / assets. Capex = cash paid for PP&amp;E and intangibles.</t>
  </si>
  <si>
    <t xml:space="preserve">Gross margin after taxes &amp; surcharges deducts China's consumption tax and levies, which Chinese refiners report below the gross-profit line - needed to compare Sinochem Energy with Chinese peers.</t>
  </si>
  <si>
    <t xml:space="preserve">Key caveats</t>
  </si>
  <si>
    <t xml:space="preserve">1) Entity-level, not group-level: Sinochem Holdings' consolidated sector results are not disclosed; unlisted entities (Sinochem Energy, Syngenta AG) are compared with listed peers on filed statements.</t>
  </si>
  <si>
    <t xml:space="preserve">2) Business-mix differences matter: crude/product trading (55%) and fuel/chemical wholesale-retail (32%) make up ~87% of Sinochem Energy's pre-elimination segment revenue (refining 12%), so gross margin is structurally thin; read EBITDA/assets and cash metrics for like-for-like comparison.</t>
  </si>
  <si>
    <t xml:space="preserve">3) Reported-basis EBITDA includes one-offs: Syngenta AG (USD 792m litigation + USD 225m restructuring), FMC and Goodyear (large 2025 charges), Sinochem Energy (RMB 1.0bn fair-value gain).</t>
  </si>
  <si>
    <t xml:space="preserve">4) Different fiscal periods/standards: all peers are Dec-2025 year-ends; GAAP differs (China GAAP / IFRS / US GAAP). Pirelli has no cost-of-sales line (by-nature P&amp;L).</t>
  </si>
  <si>
    <t xml:space="preserve">5) USD translation uses 2025 average rates for both P&amp;L and balance-sheet items (indicative sizes only; ratios are currency-neutral).</t>
  </si>
  <si>
    <t xml:space="preserve">6) Interim read-through (H1 2026) is limited to companies that filed H1 reports; the 2026 oil-price spike materially lifts refining profits.</t>
  </si>
  <si>
    <t xml:space="preserve">Scorecard - where each Sinochem entity ranks against its peer group (FY2025)</t>
  </si>
  <si>
    <t xml:space="preserve">Rank 1 = best among the entity plus its peers (n shown). Tier: top third / mid / bottom third by rank. All values are live formulas pulling from the sector sheets. Syngenta AG, ADAMA and Yangnong are compared with crop-protection &amp; seeds peers; Sinofert with crop-nutrition peers.</t>
  </si>
  <si>
    <t xml:space="preserve">Sinochem entity</t>
  </si>
  <si>
    <t xml:space="preserve">Peer group</t>
  </si>
  <si>
    <t xml:space="preserve">Metric</t>
  </si>
  <si>
    <t xml:space="preserve">Entity</t>
  </si>
  <si>
    <t xml:space="preserve">Peer median</t>
  </si>
  <si>
    <t xml:space="preserve">Entity - median</t>
  </si>
  <si>
    <t xml:space="preserve">Rank</t>
  </si>
  <si>
    <t xml:space="preserve">of n</t>
  </si>
  <si>
    <t xml:space="preserve">Tier</t>
  </si>
  <si>
    <r>
      <rPr>
        <b val="true"/>
        <sz val="10"/>
        <rFont val="Calibri"/>
        <family val="0"/>
        <charset val="1"/>
      </rPr>
      <t xml:space="preserve">Sinochem Energy (</t>
    </r>
    <r>
      <rPr>
        <b val="true"/>
        <sz val="10"/>
        <rFont val="WenQuanYi Zen Hei"/>
        <family val="2"/>
      </rPr>
      <t xml:space="preserve">中化能源</t>
    </r>
    <r>
      <rPr>
        <b val="true"/>
        <sz val="10"/>
        <rFont val="Calibri"/>
        <family val="0"/>
        <charset val="1"/>
      </rPr>
      <t xml:space="preserve">)</t>
    </r>
  </si>
  <si>
    <t xml:space="preserve">All listed peers</t>
  </si>
  <si>
    <t xml:space="preserve">Revenue growth FY25</t>
  </si>
  <si>
    <t xml:space="preserve">EBITDA margin</t>
  </si>
  <si>
    <t xml:space="preserve">Net margin</t>
  </si>
  <si>
    <t xml:space="preserve">ROE (NI / avg equity)</t>
  </si>
  <si>
    <t xml:space="preserve">EBITDA / avg assets</t>
  </si>
  <si>
    <t xml:space="preserve">Net debt / EBITDA (x)</t>
  </si>
  <si>
    <t xml:space="preserve">Interest cover (EBIT / interest, x)</t>
  </si>
  <si>
    <t xml:space="preserve">OCF / EBITDA (cash conversion)</t>
  </si>
  <si>
    <t xml:space="preserve">FCF margin</t>
  </si>
  <si>
    <t xml:space="preserve">Syngenta AG (global CP + Seeds)</t>
  </si>
  <si>
    <t xml:space="preserve">Crop-protection &amp; seeds peers</t>
  </si>
  <si>
    <t xml:space="preserve">ADAMA</t>
  </si>
  <si>
    <t xml:space="preserve">Yangnong Chemical</t>
  </si>
  <si>
    <t xml:space="preserve">Sinofert</t>
  </si>
  <si>
    <t xml:space="preserve">Crop-nutrition peers</t>
  </si>
  <si>
    <t xml:space="preserve">Pirelli</t>
  </si>
  <si>
    <r>
      <rPr>
        <b val="true"/>
        <sz val="10"/>
        <rFont val="Calibri"/>
        <family val="0"/>
        <charset val="1"/>
      </rPr>
      <t xml:space="preserve">Aeolus Tyre (</t>
    </r>
    <r>
      <rPr>
        <b val="true"/>
        <sz val="10"/>
        <rFont val="WenQuanYi Zen Hei"/>
        <family val="2"/>
      </rPr>
      <t xml:space="preserve">风神股份</t>
    </r>
    <r>
      <rPr>
        <b val="true"/>
        <sz val="10"/>
        <rFont val="Calibri"/>
        <family val="0"/>
        <charset val="1"/>
      </rPr>
      <t xml:space="preserve">)</t>
    </r>
  </si>
  <si>
    <t xml:space="preserve">Energy - Sinochem Energy vs listed refining / petrochemical peers</t>
  </si>
  <si>
    <r>
      <rPr>
        <i val="true"/>
        <sz val="10"/>
        <color rgb="FF555555"/>
        <rFont val="Calibri"/>
        <family val="0"/>
        <charset val="1"/>
      </rPr>
      <t xml:space="preserve">Sinochem Energy (</t>
    </r>
    <r>
      <rPr>
        <i val="true"/>
        <sz val="10"/>
        <color rgb="FF555555"/>
        <rFont val="WenQuanYi Zen Hei"/>
        <family val="2"/>
      </rPr>
      <t xml:space="preserve">中化能源</t>
    </r>
    <r>
      <rPr>
        <i val="true"/>
        <sz val="10"/>
        <color rgb="FF555555"/>
        <rFont val="Calibri"/>
        <family val="0"/>
        <charset val="1"/>
      </rPr>
      <t xml:space="preserve">) is the operating arm of Sinochem Corp's petrochemical segment: crude/product trading, 15 mt/y of refining capacity centred on Quanzhou, and fuel retail. FY2025 audited statements.</t>
    </r>
  </si>
  <si>
    <t xml:space="preserve">FY2025, ratios computed from the 'Data' sheet. Amber rows = Sinochem Holdings group entities. Peer statistics exclude Sinochem entities. 'n.m.' = not meaningful (negative EBITDA); 'n/a' = not available.</t>
  </si>
  <si>
    <t xml:space="preserve">Scale</t>
  </si>
  <si>
    <t xml:space="preserve">Growth</t>
  </si>
  <si>
    <t xml:space="preserve">Profitability</t>
  </si>
  <si>
    <t xml:space="preserve">Returns</t>
  </si>
  <si>
    <t xml:space="preserve">Leverage &amp; liquidity</t>
  </si>
  <si>
    <t xml:space="preserve">Cash generation</t>
  </si>
  <si>
    <t xml:space="preserve">Group</t>
  </si>
  <si>
    <t xml:space="preserve">Ccy</t>
  </si>
  <si>
    <t xml:space="preserve">Revenue (USD bn)</t>
  </si>
  <si>
    <t xml:space="preserve">Total assets (USD bn)</t>
  </si>
  <si>
    <t xml:space="preserve">EBITDA growth FY25</t>
  </si>
  <si>
    <t xml:space="preserve">Gross margin</t>
  </si>
  <si>
    <t xml:space="preserve">Gross margin after taxes &amp; surcharges</t>
  </si>
  <si>
    <t xml:space="preserve">EBIT margin</t>
  </si>
  <si>
    <t xml:space="preserve">ROA (NI / avg assets)</t>
  </si>
  <si>
    <t xml:space="preserve">Asset turnover (x)</t>
  </si>
  <si>
    <t xml:space="preserve">Liabilities / assets</t>
  </si>
  <si>
    <t xml:space="preserve">Debt / equity</t>
  </si>
  <si>
    <t xml:space="preserve">Current ratio (x)</t>
  </si>
  <si>
    <t xml:space="preserve">OCF / revenue</t>
  </si>
  <si>
    <t xml:space="preserve">Capex / revenue</t>
  </si>
  <si>
    <t xml:space="preserve">Free cash flow (USD bn)</t>
  </si>
  <si>
    <t xml:space="preserve">Direction (+1 higher is better, -1 lower is better, 0 informational)</t>
  </si>
  <si>
    <t xml:space="preserve">Sinochem</t>
  </si>
  <si>
    <t xml:space="preserve">CNY</t>
  </si>
  <si>
    <t xml:space="preserve">Sinopec Corp</t>
  </si>
  <si>
    <t xml:space="preserve">State-owned major</t>
  </si>
  <si>
    <t xml:space="preserve">PetroChina</t>
  </si>
  <si>
    <t xml:space="preserve">Hengli Petrochemical</t>
  </si>
  <si>
    <t xml:space="preserve">Private integrated refiner</t>
  </si>
  <si>
    <t xml:space="preserve">Rongsheng Petrochemical</t>
  </si>
  <si>
    <t xml:space="preserve">Sinopec Shanghai Petrochemical</t>
  </si>
  <si>
    <t xml:space="preserve">Refining &amp; petchem pure-play</t>
  </si>
  <si>
    <t xml:space="preserve">Peer median - all peers</t>
  </si>
  <si>
    <t xml:space="preserve">Peer high - all peers</t>
  </si>
  <si>
    <t xml:space="preserve">Peer low - all peers</t>
  </si>
  <si>
    <t xml:space="preserve">Peer median - State-owned majors</t>
  </si>
  <si>
    <t xml:space="preserve">Peer median - Private integrated refiners</t>
  </si>
  <si>
    <r>
      <rPr>
        <b val="true"/>
        <sz val="10"/>
        <rFont val="Calibri"/>
        <family val="0"/>
        <charset val="1"/>
      </rPr>
      <t xml:space="preserve">Anchor (Sinochem Energy (</t>
    </r>
    <r>
      <rPr>
        <b val="true"/>
        <sz val="10"/>
        <rFont val="WenQuanYi Zen Hei"/>
        <family val="2"/>
      </rPr>
      <t xml:space="preserve">中化能源</t>
    </r>
    <r>
      <rPr>
        <b val="true"/>
        <sz val="10"/>
        <rFont val="Calibri"/>
        <family val="0"/>
        <charset val="1"/>
      </rPr>
      <t xml:space="preserve">)) minus all-peer median</t>
    </r>
  </si>
  <si>
    <t xml:space="preserve">Agriculture - Syngenta Group entities vs crop-protection / seeds and crop-nutrition peers</t>
  </si>
  <si>
    <t xml:space="preserve">Syngenta Group itself discloses only sales and EBITDA publicly (USD 28.4bn / USD 4.4bn in FY2025); full statements exist for Syngenta AG (global CP + Seeds), ADAMA, Yangnong and Sinofert.</t>
  </si>
  <si>
    <t xml:space="preserve">Sinochem - CP &amp; seeds</t>
  </si>
  <si>
    <t xml:space="preserve">USD</t>
  </si>
  <si>
    <t xml:space="preserve">Sinochem - CP (generics)</t>
  </si>
  <si>
    <t xml:space="preserve">Sinochem - CP (AI)</t>
  </si>
  <si>
    <t xml:space="preserve">Sinochem - fertilizer</t>
  </si>
  <si>
    <t xml:space="preserve">Corteva</t>
  </si>
  <si>
    <t xml:space="preserve">CP &amp; seeds peer</t>
  </si>
  <si>
    <t xml:space="preserve">FMC Corp</t>
  </si>
  <si>
    <t xml:space="preserve">Jiangshan Agrochemical</t>
  </si>
  <si>
    <t xml:space="preserve">Lier Chemical</t>
  </si>
  <si>
    <t xml:space="preserve">Nutrien</t>
  </si>
  <si>
    <t xml:space="preserve">Crop-nutrition peer</t>
  </si>
  <si>
    <t xml:space="preserve">Mosaic</t>
  </si>
  <si>
    <t xml:space="preserve">Yuntianhua</t>
  </si>
  <si>
    <r>
      <rPr>
        <sz val="10"/>
        <color rgb="FF000000"/>
        <rFont val="Calibri"/>
        <family val="0"/>
        <charset val="1"/>
      </rPr>
      <t xml:space="preserve">Salt Lake Potash (</t>
    </r>
    <r>
      <rPr>
        <sz val="10"/>
        <color rgb="FF000000"/>
        <rFont val="WenQuanYi Zen Hei"/>
        <family val="2"/>
      </rPr>
      <t xml:space="preserve">青海盐湖</t>
    </r>
    <r>
      <rPr>
        <sz val="10"/>
        <color rgb="FF000000"/>
        <rFont val="Calibri"/>
        <family val="0"/>
        <charset val="1"/>
      </rPr>
      <t xml:space="preserve">)</t>
    </r>
  </si>
  <si>
    <t xml:space="preserve">Peer median - Crop-protection &amp; seeds peers</t>
  </si>
  <si>
    <t xml:space="preserve">Peer median - Crop-nutrition peers</t>
  </si>
  <si>
    <t xml:space="preserve">Anchor (Syngenta AG (global CP + Seeds)) minus all-peer median</t>
  </si>
  <si>
    <t xml:space="preserve">Rubber &amp; tyres - Pirelli / Aeolus vs global and Chinese tyre peers and a natural-rubber producer</t>
  </si>
  <si>
    <t xml:space="preserve">Sinochem's rubber &amp; tyre exposure is held through the ChemChina line (China National Tire &amp; Rubber): Pirelli (Sinochem holds ~34.1% via Marco Polo International Italy; Pirelli's accounts state no entity controls it) and Aeolus Tyre.</t>
  </si>
  <si>
    <t xml:space="preserve">Sinochem - premium tyres</t>
  </si>
  <si>
    <t xml:space="preserve">EUR</t>
  </si>
  <si>
    <t xml:space="preserve">Sinochem - truck &amp; bus tyres</t>
  </si>
  <si>
    <t xml:space="preserve">Michelin</t>
  </si>
  <si>
    <t xml:space="preserve">Global major</t>
  </si>
  <si>
    <t xml:space="preserve">Bridgestone</t>
  </si>
  <si>
    <t xml:space="preserve">JPY</t>
  </si>
  <si>
    <t xml:space="preserve">Goodyear</t>
  </si>
  <si>
    <t xml:space="preserve">Linglong Tire</t>
  </si>
  <si>
    <t xml:space="preserve">China tyre producer</t>
  </si>
  <si>
    <t xml:space="preserve">Sailun Group</t>
  </si>
  <si>
    <t xml:space="preserve">Zhongce Rubber</t>
  </si>
  <si>
    <t xml:space="preserve">Hainan Rubber</t>
  </si>
  <si>
    <t xml:space="preserve">Natural rubber</t>
  </si>
  <si>
    <t xml:space="preserve">Peer median - Global majors</t>
  </si>
  <si>
    <t xml:space="preserve">Peer median - China tyre producers</t>
  </si>
  <si>
    <t xml:space="preserve">Anchor (Pirelli) minus all-peer median</t>
  </si>
  <si>
    <t xml:space="preserve">Latest interim read-through: H1 2026 vs H1 2025 (cumulative six months, reporting currency, millions)</t>
  </si>
  <si>
    <t xml:space="preserve">Available for China A-share companies and Sinofert from their H1 2026 reports (published Aug 2026). Sinochem Energy, Syngenta AG and Pirelli interim items are in 'Group context'.</t>
  </si>
  <si>
    <t xml:space="preserve">Sector</t>
  </si>
  <si>
    <t xml:space="preserve">Role</t>
  </si>
  <si>
    <t xml:space="preserve">Revenue H1-26</t>
  </si>
  <si>
    <t xml:space="preserve">Revenue H1-25</t>
  </si>
  <si>
    <t xml:space="preserve">Revenue YoY</t>
  </si>
  <si>
    <t xml:space="preserve">Net income H1-26</t>
  </si>
  <si>
    <t xml:space="preserve">Net income H1-25</t>
  </si>
  <si>
    <t xml:space="preserve">Net income change</t>
  </si>
  <si>
    <t xml:space="preserve">Net margin H1-26</t>
  </si>
  <si>
    <t xml:space="preserve">Net margin H1-25</t>
  </si>
  <si>
    <t xml:space="preserve">Energy</t>
  </si>
  <si>
    <t xml:space="preserve">Peer</t>
  </si>
  <si>
    <t xml:space="preserve">Agriculture</t>
  </si>
  <si>
    <r>
      <rPr>
        <sz val="11"/>
        <color theme="1"/>
        <rFont val="Calibri"/>
        <family val="2"/>
        <charset val="1"/>
      </rPr>
      <t xml:space="preserve">Salt Lake Potash (</t>
    </r>
    <r>
      <rPr>
        <sz val="11"/>
        <color theme="1"/>
        <rFont val="WenQuanYi Zen Hei"/>
        <family val="2"/>
      </rPr>
      <t xml:space="preserve">青海盐湖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</si>
  <si>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Aeolus Tyre (</t>
    </r>
    <r>
      <rPr>
        <sz val="11"/>
        <color theme="1"/>
        <rFont val="WenQuanYi Zen Hei"/>
        <family val="2"/>
      </rPr>
      <t xml:space="preserve">风神股份</t>
    </r>
    <r>
      <rPr>
        <sz val="11"/>
        <color theme="1"/>
        <rFont val="Calibri"/>
        <family val="2"/>
        <charset val="1"/>
      </rPr>
      <t xml:space="preserve">)</t>
    </r>
  </si>
  <si>
    <t xml:space="preserve">Rubber</t>
  </si>
  <si>
    <t xml:space="preserve">Source: Eastmoney F10 (H1 2026 and H1 2025 cumulative income statements as filed). Sinochem Energy has not published an H1 2026 statement that I could locate; see 'Group context' for Sinochem Corp Q1 2026.</t>
  </si>
  <si>
    <t xml:space="preserve">Group context - what is disclosed at Sinochem level</t>
  </si>
  <si>
    <r>
      <rPr>
        <i val="true"/>
        <sz val="10"/>
        <color rgb="FF555555"/>
        <rFont val="Calibri"/>
        <family val="0"/>
        <charset val="1"/>
      </rPr>
      <t xml:space="preserve">Sinochem Holdings (</t>
    </r>
    <r>
      <rPr>
        <i val="true"/>
        <sz val="10"/>
        <color rgb="FF555555"/>
        <rFont val="WenQuanYi Zen Hei"/>
        <family val="2"/>
      </rPr>
      <t xml:space="preserve">中国中化控股</t>
    </r>
    <r>
      <rPr>
        <i val="true"/>
        <sz val="10"/>
        <color rgb="FF555555"/>
        <rFont val="Calibri"/>
        <family val="0"/>
        <charset val="1"/>
      </rPr>
      <t xml:space="preserve">) is unlisted and does not publish a consolidated sector split. The tables below are the disclosed building blocks. RMB 100m (</t>
    </r>
    <r>
      <rPr>
        <i val="true"/>
        <sz val="10"/>
        <color rgb="FF555555"/>
        <rFont val="WenQuanYi Zen Hei"/>
        <family val="2"/>
      </rPr>
      <t xml:space="preserve">亿元</t>
    </r>
    <r>
      <rPr>
        <i val="true"/>
        <sz val="10"/>
        <color rgb="FF555555"/>
        <rFont val="Calibri"/>
        <family val="0"/>
        <charset val="1"/>
      </rPr>
      <t xml:space="preserve">) unless stated.</t>
    </r>
  </si>
  <si>
    <r>
      <rPr>
        <b val="true"/>
        <sz val="11"/>
        <color rgb="FF1F3A5F"/>
        <rFont val="Calibri"/>
        <family val="0"/>
        <charset val="1"/>
      </rPr>
      <t xml:space="preserve">1. </t>
    </r>
    <r>
      <rPr>
        <b val="true"/>
        <sz val="11"/>
        <color rgb="FF1F3A5F"/>
        <rFont val="WenQuanYi Zen Hei"/>
        <family val="2"/>
      </rPr>
      <t xml:space="preserve">中国中化股份有限公司 </t>
    </r>
    <r>
      <rPr>
        <b val="true"/>
        <sz val="11"/>
        <color rgb="FF1F3A5F"/>
        <rFont val="Calibri"/>
        <family val="0"/>
        <charset val="1"/>
      </rPr>
      <t xml:space="preserve">(Sinochem Corp, main financing platform of Sinochem Holdings) - consolidated</t>
    </r>
  </si>
  <si>
    <t xml:space="preserve">Item (RMB 100m)</t>
  </si>
  <si>
    <t xml:space="preserve">FY2023</t>
  </si>
  <si>
    <t xml:space="preserve">FY2024</t>
  </si>
  <si>
    <t xml:space="preserve">FY2025</t>
  </si>
  <si>
    <t xml:space="preserve">Q1 2026</t>
  </si>
  <si>
    <t xml:space="preserve">Revenue</t>
  </si>
  <si>
    <t xml:space="preserve">Gross margin (%)</t>
  </si>
  <si>
    <t xml:space="preserve">Operating business profit</t>
  </si>
  <si>
    <t xml:space="preserve">Asset impairment loss</t>
  </si>
  <si>
    <t xml:space="preserve">Investment income</t>
  </si>
  <si>
    <t xml:space="preserve">Fair-value change gain/(loss)</t>
  </si>
  <si>
    <t xml:space="preserve">Total profit</t>
  </si>
  <si>
    <t xml:space="preserve">Total assets</t>
  </si>
  <si>
    <t xml:space="preserve">Total debt</t>
  </si>
  <si>
    <t xml:space="preserve">Total liabilities</t>
  </si>
  <si>
    <t xml:space="preserve">Owner's equity (incl. RMB 98bn perpetuals at 1Q25)</t>
  </si>
  <si>
    <t xml:space="preserve">Total capitalisation ratio (%)</t>
  </si>
  <si>
    <t xml:space="preserve">Operating cash flow</t>
  </si>
  <si>
    <t xml:space="preserve">Total debt / EBITDA (x)</t>
  </si>
  <si>
    <t xml:space="preserve">EBITDA interest cover (x)</t>
  </si>
  <si>
    <r>
      <rPr>
        <i val="true"/>
        <sz val="10"/>
        <color rgb="FF555555"/>
        <rFont val="Calibri"/>
        <family val="0"/>
        <charset val="1"/>
      </rPr>
      <t xml:space="preserve">Source: </t>
    </r>
    <r>
      <rPr>
        <i val="true"/>
        <sz val="10"/>
        <color rgb="FF555555"/>
        <rFont val="WenQuanYi Zen Hei"/>
        <family val="2"/>
      </rPr>
      <t xml:space="preserve">中诚信国际 </t>
    </r>
    <r>
      <rPr>
        <i val="true"/>
        <sz val="10"/>
        <color rgb="FF555555"/>
        <rFont val="Calibri"/>
        <family val="0"/>
        <charset val="1"/>
      </rPr>
      <t xml:space="preserve">2026 tracking rating report for </t>
    </r>
    <r>
      <rPr>
        <i val="true"/>
        <sz val="10"/>
        <color rgb="FF555555"/>
        <rFont val="WenQuanYi Zen Hei"/>
        <family val="2"/>
      </rPr>
      <t xml:space="preserve">中国中化股份有限公司 </t>
    </r>
    <r>
      <rPr>
        <i val="true"/>
        <sz val="10"/>
        <color rgb="FF555555"/>
        <rFont val="Calibri"/>
        <family val="0"/>
        <charset val="1"/>
      </rPr>
      <t xml:space="preserve">(SSE, 2026-06-23), table 7; 2025 report for FY2023 comparatives.</t>
    </r>
  </si>
  <si>
    <t xml:space="preserve">2. Sinochem Corp segment revenue and gross margin (RMB 100m, %)</t>
  </si>
  <si>
    <t xml:space="preserve">Segment</t>
  </si>
  <si>
    <t xml:space="preserve">Rev FY2023</t>
  </si>
  <si>
    <t xml:space="preserve">GM% FY2023</t>
  </si>
  <si>
    <t xml:space="preserve">Rev FY2024</t>
  </si>
  <si>
    <t xml:space="preserve">GM% FY2024</t>
  </si>
  <si>
    <t xml:space="preserve">Rev FY2025</t>
  </si>
  <si>
    <t xml:space="preserve">GM% FY2025</t>
  </si>
  <si>
    <r>
      <rPr>
        <sz val="11"/>
        <color theme="1"/>
        <rFont val="Calibri"/>
        <family val="2"/>
        <charset val="1"/>
      </rPr>
      <t xml:space="preserve">Petrochemicals (</t>
    </r>
    <r>
      <rPr>
        <sz val="11"/>
        <color theme="1"/>
        <rFont val="WenQuanYi Zen Hei"/>
        <family val="2"/>
      </rPr>
      <t xml:space="preserve">石油化工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</si>
  <si>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Materials science (</t>
    </r>
    <r>
      <rPr>
        <sz val="11"/>
        <color theme="1"/>
        <rFont val="WenQuanYi Zen Hei"/>
        <family val="2"/>
      </rPr>
      <t xml:space="preserve">材料科学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</si>
  <si>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Urban operations (</t>
    </r>
    <r>
      <rPr>
        <sz val="11"/>
        <color theme="1"/>
        <rFont val="WenQuanYi Zen Hei"/>
        <family val="2"/>
      </rPr>
      <t xml:space="preserve">城市运营</t>
    </r>
    <r>
      <rPr>
        <sz val="11"/>
        <color theme="1"/>
        <rFont val="Calibri"/>
        <family val="2"/>
        <charset val="1"/>
      </rPr>
      <t xml:space="preserve">)</t>
    </r>
  </si>
  <si>
    <t xml:space="preserve">Source: same rating reports, table 6. Agriculture and rubber/tyre sit in the ChemChina line, outside Sinochem Corp's consolidation.</t>
  </si>
  <si>
    <r>
      <rPr>
        <b val="true"/>
        <sz val="11"/>
        <color rgb="FF1F3A5F"/>
        <rFont val="Calibri"/>
        <family val="0"/>
        <charset val="1"/>
      </rPr>
      <t xml:space="preserve">3. Sinochem Energy (</t>
    </r>
    <r>
      <rPr>
        <b val="true"/>
        <sz val="11"/>
        <color rgb="FF1F3A5F"/>
        <rFont val="WenQuanYi Zen Hei"/>
        <family val="2"/>
      </rPr>
      <t xml:space="preserve">中化能源</t>
    </r>
    <r>
      <rPr>
        <b val="true"/>
        <sz val="11"/>
        <color rgb="FF1F3A5F"/>
        <rFont val="Calibri"/>
        <family val="0"/>
        <charset val="1"/>
      </rPr>
      <t xml:space="preserve">) revenue by segment (RMB 100m)</t>
    </r>
  </si>
  <si>
    <t xml:space="preserve">Oil trading &amp; services</t>
  </si>
  <si>
    <t xml:space="preserve">Oil products &amp; chemicals sales</t>
  </si>
  <si>
    <t xml:space="preserve">Refining &amp; chemicals</t>
  </si>
  <si>
    <t xml:space="preserve">Storage &amp; logistics</t>
  </si>
  <si>
    <t xml:space="preserve">Other</t>
  </si>
  <si>
    <t xml:space="preserve">Inter-segment elimination</t>
  </si>
  <si>
    <t xml:space="preserve">Total revenue</t>
  </si>
  <si>
    <t xml:space="preserve">Net profit/(loss)</t>
  </si>
  <si>
    <t xml:space="preserve">Source: rating report table 1 (Sinochem Energy annual reports); FY2025 net loss ties to audited statements (RMB -1,682.7m).</t>
  </si>
  <si>
    <t xml:space="preserve">4. Syngenta Group headline (USD bn) - consolidated, unaudited</t>
  </si>
  <si>
    <t xml:space="preserve">Item</t>
  </si>
  <si>
    <t xml:space="preserve">H1 2025</t>
  </si>
  <si>
    <t xml:space="preserve">H1 2026</t>
  </si>
  <si>
    <t xml:space="preserve">Sales</t>
  </si>
  <si>
    <t xml:space="preserve">EBITDA</t>
  </si>
  <si>
    <t xml:space="preserve">EBITDA margin (%)</t>
  </si>
  <si>
    <t xml:space="preserve">Syngenta Crop Protection sales</t>
  </si>
  <si>
    <t xml:space="preserve">Seeds sales</t>
  </si>
  <si>
    <t xml:space="preserve">ADAMA sales</t>
  </si>
  <si>
    <t xml:space="preserve">Syngenta Group China sales</t>
  </si>
  <si>
    <t xml:space="preserve">Source: Syngenta Group FY2025 results (2026-03-31) and H1 2026 results (2026-08-27). Sinofert was transferred to Sinochem Hong Kong on 23 Dec 2025 and is not consolidated from Jan 2026; H1 2026 is like-for-like.</t>
  </si>
  <si>
    <t xml:space="preserve">5. Pirelli - latest data points (EUR m)</t>
  </si>
  <si>
    <t xml:space="preserve">Adjusted EBIT</t>
  </si>
  <si>
    <t xml:space="preserve">Net income</t>
  </si>
  <si>
    <t xml:space="preserve">Net financial position (debt)</t>
  </si>
  <si>
    <t xml:space="preserve">Source: Pirelli FY2025 and H1 2026 results releases. H1 2026 net income was +13.3% year on year. Directors Zhang Haitao, Xi Xiaohong and Wang Kun voted against the H1 2026 report over its declaration of control by MTP S.p.A. Sinochem (via MPI Italy) held ~34.1% at Dec 2025 (AR 2025).</t>
  </si>
  <si>
    <t xml:space="preserve">Standardised financial inputs (millions of reporting currency)</t>
  </si>
  <si>
    <t xml:space="preserve">Blue = hard-coded from filings; black = formula. EBIT = operating profit before financing as reported (China GAAP: operating profit + net finance expense); EBITDA = EBIT + D&amp;A with no add-back for impairments/one-offs; Debt = borrowings + bonds + lease liabilities; Capex = cash paid for PP&amp;E and intangibles.</t>
  </si>
  <si>
    <t xml:space="preserve">FY2025 (year to 31-Dec-2025)</t>
  </si>
  <si>
    <t xml:space="preserve">FY2024 (year to 31-Dec-2024)</t>
  </si>
  <si>
    <t xml:space="preserve">Key</t>
  </si>
  <si>
    <t xml:space="preserve">Sub-segment</t>
  </si>
  <si>
    <t xml:space="preserve">Currency</t>
  </si>
  <si>
    <t xml:space="preserve">Listing / ownership</t>
  </si>
  <si>
    <t xml:space="preserve">LC per USD</t>
  </si>
  <si>
    <t xml:space="preserve">Cost of sales</t>
  </si>
  <si>
    <t xml:space="preserve">Gross profit</t>
  </si>
  <si>
    <t xml:space="preserve">EBIT</t>
  </si>
  <si>
    <t xml:space="preserve">D&amp;A</t>
  </si>
  <si>
    <t xml:space="preserve">Interest expense</t>
  </si>
  <si>
    <t xml:space="preserve">Pre-tax profit</t>
  </si>
  <si>
    <t xml:space="preserve">Net income (parent)</t>
  </si>
  <si>
    <t xml:space="preserve">Total equity</t>
  </si>
  <si>
    <t xml:space="preserve">Parent equity</t>
  </si>
  <si>
    <t xml:space="preserve">Cash</t>
  </si>
  <si>
    <t xml:space="preserve">Current assets</t>
  </si>
  <si>
    <t xml:space="preserve">Current liabilities</t>
  </si>
  <si>
    <t xml:space="preserve">Debt (incl. leases)</t>
  </si>
  <si>
    <t xml:space="preserve">Capex</t>
  </si>
  <si>
    <t xml:space="preserve">Taxes &amp; surcharges</t>
  </si>
  <si>
    <t xml:space="preserve">Notes</t>
  </si>
  <si>
    <t xml:space="preserve">Source</t>
  </si>
  <si>
    <t xml:space="preserve">SCE</t>
  </si>
  <si>
    <r>
      <rPr>
        <sz val="11"/>
        <color theme="1"/>
        <rFont val="Calibri"/>
        <family val="2"/>
        <charset val="1"/>
      </rPr>
      <t xml:space="preserve">Sinochem Energy (</t>
    </r>
    <r>
      <rPr>
        <sz val="11"/>
        <color theme="1"/>
        <rFont val="WenQuanYi Zen Hei"/>
        <family val="2"/>
      </rPr>
      <t xml:space="preserve">中化能源</t>
    </r>
    <r>
      <rPr>
        <sz val="11"/>
        <color theme="1"/>
        <rFont val="Calibri"/>
        <family val="2"/>
        <charset val="1"/>
      </rPr>
      <t xml:space="preserve">)</t>
    </r>
  </si>
  <si>
    <t xml:space="preserve">Trading, refining &amp; marketing</t>
  </si>
  <si>
    <t xml:space="preserve">Unlisted (bond issuer)</t>
  </si>
  <si>
    <t xml:space="preserve">Operating arm of Sinochem Corp's petrochemical segment; 15 mt/y refining capacity centred on Quanzhou</t>
  </si>
  <si>
    <r>
      <rPr>
        <sz val="11"/>
        <color theme="1"/>
        <rFont val="Calibri"/>
        <family val="2"/>
        <charset val="1"/>
      </rPr>
      <t xml:space="preserve">Audited FY2025 consolidated FS (</t>
    </r>
    <r>
      <rPr>
        <sz val="11"/>
        <color theme="1"/>
        <rFont val="WenQuanYi Zen Hei"/>
        <family val="2"/>
      </rPr>
      <t xml:space="preserve">天职国际</t>
    </r>
    <r>
      <rPr>
        <sz val="11"/>
        <color theme="1"/>
        <rFont val="Calibri"/>
        <family val="2"/>
        <charset val="1"/>
      </rPr>
      <t xml:space="preserve">), SSE bond disclosure</t>
    </r>
  </si>
  <si>
    <t xml:space="preserve">SNP</t>
  </si>
  <si>
    <t xml:space="preserve">Integrated major</t>
  </si>
  <si>
    <t xml:space="preserve">600028.SH / 0386.HK</t>
  </si>
  <si>
    <t xml:space="preserve">Eastmoney F10 (filed annual reports)</t>
  </si>
  <si>
    <t xml:space="preserve">PTR</t>
  </si>
  <si>
    <t xml:space="preserve">601857.SH / 0857.HK</t>
  </si>
  <si>
    <t xml:space="preserve">HLP</t>
  </si>
  <si>
    <t xml:space="preserve">Private integrated refining-chemicals</t>
  </si>
  <si>
    <t xml:space="preserve">600346.SH</t>
  </si>
  <si>
    <t xml:space="preserve">RSP</t>
  </si>
  <si>
    <t xml:space="preserve">002493.SZ</t>
  </si>
  <si>
    <t xml:space="preserve">SSP</t>
  </si>
  <si>
    <t xml:space="preserve">Refining &amp; petrochemicals</t>
  </si>
  <si>
    <t xml:space="preserve">600688.SH / 0338.HK</t>
  </si>
  <si>
    <t xml:space="preserve">SYN</t>
  </si>
  <si>
    <t xml:space="preserve">Crop protection &amp; seeds</t>
  </si>
  <si>
    <t xml:space="preserve">Unlisted (Syngenta Group sub.)</t>
  </si>
  <si>
    <t xml:space="preserve">Excludes ADAMA, Syngenta Group China, Yangnong, Sinofert; includes $792m litigation provisions in 2025</t>
  </si>
  <si>
    <t xml:space="preserve">Syngenta AG Financial Report 2025 (IFRS)</t>
  </si>
  <si>
    <t xml:space="preserve">ADM</t>
  </si>
  <si>
    <t xml:space="preserve">Crop protection (generics)</t>
  </si>
  <si>
    <t xml:space="preserve">000553.SZ</t>
  </si>
  <si>
    <t xml:space="preserve">Syngenta Group sub.</t>
  </si>
  <si>
    <t xml:space="preserve">YNG</t>
  </si>
  <si>
    <t xml:space="preserve">Crop protection (AI &amp; intermediates)</t>
  </si>
  <si>
    <t xml:space="preserve">600486.SH</t>
  </si>
  <si>
    <t xml:space="preserve">SIF</t>
  </si>
  <si>
    <t xml:space="preserve">Fertilizer distribution</t>
  </si>
  <si>
    <t xml:space="preserve">0297.HK</t>
  </si>
  <si>
    <t xml:space="preserve">Spun out of Syngenta Group to Sinochem HK on 23 Dec 2025</t>
  </si>
  <si>
    <t xml:space="preserve">Eastmoney HK F10 (filed annual reports)</t>
  </si>
  <si>
    <t xml:space="preserve">CTV</t>
  </si>
  <si>
    <t xml:space="preserve">CTVA (NYSE)</t>
  </si>
  <si>
    <t xml:space="preserve">Pre-separation consolidated FY2025</t>
  </si>
  <si>
    <t xml:space="preserve">SEC EDGAR XBRL + Eastmoney US</t>
  </si>
  <si>
    <t xml:space="preserve">FMC</t>
  </si>
  <si>
    <t xml:space="preserve">Crop protection</t>
  </si>
  <si>
    <t xml:space="preserve">FMC (NYSE)</t>
  </si>
  <si>
    <t xml:space="preserve">FY2025 net loss of $2.2bn</t>
  </si>
  <si>
    <t xml:space="preserve">JSA</t>
  </si>
  <si>
    <t xml:space="preserve">Crop protection (AI)</t>
  </si>
  <si>
    <t xml:space="preserve">600389.SH</t>
  </si>
  <si>
    <t xml:space="preserve">LCH</t>
  </si>
  <si>
    <t xml:space="preserve">Crop protection (AI &amp; formulations)</t>
  </si>
  <si>
    <t xml:space="preserve">002258.SZ</t>
  </si>
  <si>
    <t xml:space="preserve">NTR</t>
  </si>
  <si>
    <t xml:space="preserve">Crop nutrition &amp; ag retail</t>
  </si>
  <si>
    <t xml:space="preserve">NTR (NYSE/TSX)</t>
  </si>
  <si>
    <t xml:space="preserve">Nutrien FY2025 audited FS (40-F)</t>
  </si>
  <si>
    <t xml:space="preserve">MOS</t>
  </si>
  <si>
    <t xml:space="preserve">Crop nutrition</t>
  </si>
  <si>
    <t xml:space="preserve">MOS (NYSE)</t>
  </si>
  <si>
    <t xml:space="preserve">YTH</t>
  </si>
  <si>
    <t xml:space="preserve">Phosphate fertilizer</t>
  </si>
  <si>
    <t xml:space="preserve">600096.SH</t>
  </si>
  <si>
    <t xml:space="preserve">SLP</t>
  </si>
  <si>
    <t xml:space="preserve">Potash &amp; lithium</t>
  </si>
  <si>
    <t xml:space="preserve">000792.SZ</t>
  </si>
  <si>
    <t xml:space="preserve">Sinochem Corp holds a 5.73% stake (rating report)</t>
  </si>
  <si>
    <t xml:space="preserve">PIR</t>
  </si>
  <si>
    <t xml:space="preserve">Premium / High Value tyres</t>
  </si>
  <si>
    <t xml:space="preserve">PIRC.MI</t>
  </si>
  <si>
    <t xml:space="preserve">Sinochem (via Marco Polo International Italy) holds ~34.1% (Dec 2025); Pirelli's accounts state no entity controls it under IFRS 10 since Apr 2025; no COGS line (by-nature P&amp;L)</t>
  </si>
  <si>
    <t xml:space="preserve">Pirelli 2025 Annual Report (IFRS)</t>
  </si>
  <si>
    <t xml:space="preserve">AEO</t>
  </si>
  <si>
    <t xml:space="preserve">Truck &amp; bus radial tyres</t>
  </si>
  <si>
    <t xml:space="preserve">600469.SH</t>
  </si>
  <si>
    <t xml:space="preserve">ChemChina / CNTR sub.</t>
  </si>
  <si>
    <t xml:space="preserve">MIC</t>
  </si>
  <si>
    <t xml:space="preserve">Global tyre major</t>
  </si>
  <si>
    <t xml:space="preserve">ML.PA</t>
  </si>
  <si>
    <t xml:space="preserve">Michelin 2025 URD (IFRS)</t>
  </si>
  <si>
    <t xml:space="preserve">BRI</t>
  </si>
  <si>
    <t xml:space="preserve">5108.T</t>
  </si>
  <si>
    <t xml:space="preserve">Bridgestone FY2025 results (IFRS)</t>
  </si>
  <si>
    <t xml:space="preserve">GYR</t>
  </si>
  <si>
    <t xml:space="preserve">GT (Nasdaq)</t>
  </si>
  <si>
    <t xml:space="preserve">FY2025 net loss of $1.7bn</t>
  </si>
  <si>
    <t xml:space="preserve">LLT</t>
  </si>
  <si>
    <t xml:space="preserve">601966.SH</t>
  </si>
  <si>
    <t xml:space="preserve">SLG</t>
  </si>
  <si>
    <t xml:space="preserve">601058.SH</t>
  </si>
  <si>
    <t xml:space="preserve">ZCR</t>
  </si>
  <si>
    <t xml:space="preserve">603049.SH</t>
  </si>
  <si>
    <t xml:space="preserve">HNR</t>
  </si>
  <si>
    <t xml:space="preserve">Natural rubber (owns Halcyon Agri stake)</t>
  </si>
  <si>
    <t xml:space="preserve">601118.SH</t>
  </si>
  <si>
    <t xml:space="preserve">Agreed in Nov 2022 to buy 36% of Halcyon Agri from Sinochem International (completion not verified)</t>
  </si>
  <si>
    <t xml:space="preserve">Average exchange rates used for USD translation</t>
  </si>
  <si>
    <t xml:space="preserve">Local currency per 1 USD, calendar-2025 average (IRS yearly average rates). Edit the blue cells to re-translate every USD figure in the workbook.</t>
  </si>
  <si>
    <t xml:space="preserve">LC per USD (2025 avg)</t>
  </si>
  <si>
    <t xml:space="preserve">LC per USD (2024 avg)</t>
  </si>
  <si>
    <t xml:space="preserve">Source: https://www.irs.gov/individuals/international-taxpayers/yearly-average-currency-exchange-rates (tables for 2025 and 2024).</t>
  </si>
  <si>
    <t xml:space="preserve">Sources</t>
  </si>
  <si>
    <t xml:space="preserve">Sinochem Corp 2026 tracking rating report (FY2025, Q1 2026)</t>
  </si>
  <si>
    <t xml:space="preserve">http://static.sse.com.cn/disclosure/bond/announcement/company/c/new/2026-06-23/244212_20260623_CREQ.pdf</t>
  </si>
  <si>
    <t xml:space="preserve">Sinochem Corp 2025 tracking rating report (FY2024)</t>
  </si>
  <si>
    <t xml:space="preserve">http://static.sse.com.cn/disclosure/bond/announcement/company/c/new/2025-06-23/241247_20250623_1DU5.pdf</t>
  </si>
  <si>
    <r>
      <rPr>
        <sz val="11"/>
        <color theme="1"/>
        <rFont val="Calibri"/>
        <family val="2"/>
        <charset val="1"/>
      </rPr>
      <t xml:space="preserve">Sinochem Energy FY2025 audited consolidated statements (</t>
    </r>
    <r>
      <rPr>
        <sz val="11"/>
        <color theme="1"/>
        <rFont val="WenQuanYi Zen Hei"/>
        <family val="2"/>
      </rPr>
      <t xml:space="preserve">天职业字</t>
    </r>
    <r>
      <rPr>
        <sz val="11"/>
        <color theme="1"/>
        <rFont val="Calibri"/>
        <family val="2"/>
        <charset val="1"/>
      </rPr>
      <t xml:space="preserve">[2026]19618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Calibri"/>
        <family val="2"/>
        <charset val="1"/>
      </rPr>
      <t xml:space="preserve">)</t>
    </r>
  </si>
  <si>
    <t xml:space="preserve">http://static.sse.com.cn/disclosure/bond/announcement/company/c/new/2026-04-30/115421_20260430_T7YL.pdf</t>
  </si>
  <si>
    <t xml:space="preserve">Syngenta AG Financial Report 2025</t>
  </si>
  <si>
    <t xml:space="preserve">https://www.syngenta.com/sites/default/files/2026-03/Financial%20Report%202025_0.pdf</t>
  </si>
  <si>
    <t xml:space="preserve">Syngenta Group FY2025 results release</t>
  </si>
  <si>
    <t xml:space="preserve">https://www.syngentagroup.com/newsroom/2026/syngenta-group-reports-2025-full-year-results</t>
  </si>
  <si>
    <t xml:space="preserve">Syngenta Group H1 2026 results</t>
  </si>
  <si>
    <t xml:space="preserve">https://www.syngentagroup.com/sites/default/files/2026-08/260827-Syngenta-Group-Q2-H1_EN_2949a0aa.pdf</t>
  </si>
  <si>
    <t xml:space="preserve">Pirelli 2025 Annual Report</t>
  </si>
  <si>
    <t xml:space="preserve">https://corp-assets.pirelli.com/corporate/Annual_Report_Pirelli_2025_ENG.pdf</t>
  </si>
  <si>
    <t xml:space="preserve">Pirelli FY2025 preliminary results release</t>
  </si>
  <si>
    <t xml:space="preserve">https://press.pirelli.com/review-of-preliminary-results-to-31-december-2025-and-2026-budget/</t>
  </si>
  <si>
    <t xml:space="preserve">Pirelli H1 2026 results release</t>
  </si>
  <si>
    <t xml:space="preserve">https://press.pirelli.com/pirelli-board-majority-approves-consolidated-results-to-30-june-2026/</t>
  </si>
  <si>
    <t xml:space="preserve">Michelin 2025 Universal Registration Document</t>
  </si>
  <si>
    <t xml:space="preserve">https://www.michelin.com/en/publications/group/financial-information-december-31-2025</t>
  </si>
  <si>
    <t xml:space="preserve">Bridgestone Consolidated Financial Results FY2025</t>
  </si>
  <si>
    <t xml:space="preserve">https://www.bridgestone.com/ir/library/result/pdf/e_r7_4_results.pdf</t>
  </si>
  <si>
    <t xml:space="preserve">Nutrien 2025 audited financial statements (40-F ex. 99.3)</t>
  </si>
  <si>
    <t xml:space="preserve">https://www.sec.gov/Archives/edgar/data/1725964/000119312526081326/d56746dex993.htm</t>
  </si>
  <si>
    <t xml:space="preserve">SEC EDGAR XBRL company facts (Corteva, FMC, Mosaic, Goodyear)</t>
  </si>
  <si>
    <t xml:space="preserve">https://data.sec.gov/api/xbrl/companyfacts/</t>
  </si>
  <si>
    <t xml:space="preserve">Eastmoney F10 financial statements (A-shares, Sinofert, US balance/income)</t>
  </si>
  <si>
    <t xml:space="preserve">https://datacenter.eastmoney.com/securities/api/data/v1/get</t>
  </si>
  <si>
    <t xml:space="preserve">IRS yearly average exchange rates</t>
  </si>
  <si>
    <t xml:space="preserve">https://www.irs.gov/individuals/international-taxpayers/yearly-average-currency-exchange-rates</t>
  </si>
  <si>
    <t xml:space="preserve">Sinochem International sale of 36% of Halcyon Agri to Hainan Rubber (Nov 2022)</t>
  </si>
  <si>
    <t xml:space="preserve">https://www.stcn.com/article/detail/733704.html</t>
  </si>
  <si>
    <t xml:space="preserve">Michelin H1 2026 results</t>
  </si>
  <si>
    <t xml:space="preserve">https://www.michelin.com/en/publications/group/financial-information-at-june-30-2026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</si>
</sst>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.0%;\-0.0%"/>
    <numFmt numFmtId="167" formatCode="General"/>
    <numFmt numFmtId="168" formatCode="0.00\x"/>
    <numFmt numFmtId="169" formatCode="0.0\x"/>
    <numFmt numFmtId="170" formatCode="&quot;higher is better&quot;;&quot;lower is better&quot;;&quot;informational&quot;"/>
    <numFmt numFmtId="171" formatCode="#,##0.0"/>
    <numFmt numFmtId="172" formatCode="#,##0.00;[RED]\-#,##0.00"/>
    <numFmt numFmtId="173" formatCode="#,##0;[RED]\-#,##0"/>
    <numFmt numFmtId="174" formatCode="#,##0.000"/>
    <numFmt numFmtId="175" formatCode="#,##0.0;[RED]\-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0"/>
      <name val="Calibri"/>
      <family val="0"/>
      <charset val="1"/>
    </font>
    <font>
      <sz val="11"/>
      <color theme="1"/>
      <name val="WenQuanYi Zen Hei"/>
      <family val="2"/>
    </font>
    <font>
      <b val="true"/>
      <sz val="10"/>
      <color rgb="FFFFFFFF"/>
      <name val="Calibri"/>
      <family val="0"/>
      <charset val="1"/>
    </font>
    <font>
      <b val="true"/>
      <sz val="10"/>
      <name val="WenQuanYi Zen Hei"/>
      <family val="2"/>
    </font>
    <font>
      <sz val="10"/>
      <color rgb="FF000000"/>
      <name val="Calibri"/>
      <family val="0"/>
      <charset val="1"/>
    </font>
    <font>
      <i val="true"/>
      <sz val="10"/>
      <color rgb="FF555555"/>
      <name val="WenQuanYi Zen Hei"/>
      <family val="2"/>
    </font>
    <font>
      <sz val="10"/>
      <color rgb="FF000000"/>
      <name val="WenQuanYi Zen Hei"/>
      <family val="2"/>
    </font>
    <font>
      <sz val="10"/>
      <color rgb="FF0000FF"/>
      <name val="Calibri"/>
      <family val="0"/>
      <charset val="1"/>
    </font>
    <font>
      <b val="true"/>
      <sz val="11"/>
      <color rgb="FF1F3A5F"/>
      <name val="Calibri"/>
      <family val="0"/>
      <charset val="1"/>
    </font>
    <font>
      <b val="true"/>
      <sz val="11"/>
      <color rgb="FF1F3A5F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2E7D8C"/>
        <bgColor rgb="FF008080"/>
      </patternFill>
    </fill>
    <fill>
      <patternFill patternType="solid">
        <fgColor rgb="FFEDEDED"/>
        <bgColor rgb="FFDFF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1B7F3B"/>
      </font>
      <fill>
        <patternFill>
          <bgColor rgb="FFDFF0E3"/>
        </patternFill>
      </fill>
    </dxf>
    <dxf>
      <font>
        <b val="1"/>
        <color rgb="FFC0392B"/>
      </font>
      <fill>
        <patternFill>
          <bgColor rgb="FFF8DCD8"/>
        </patternFill>
      </fill>
    </dxf>
    <dxf>
      <font>
        <b val="1"/>
        <color rgb="FF1B7F3B"/>
      </font>
    </dxf>
    <dxf>
      <font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F3B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0E3"/>
      <rgbColor rgb="FFFFFF99"/>
      <rgbColor rgb="FF99CCFF"/>
      <rgbColor rgb="FFFF99CC"/>
      <rgbColor rgb="FFCC99FF"/>
      <rgbColor rgb="FFF8DC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2E7D8C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30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  <row r="12" customFormat="false" ht="30" hidden="false" customHeight="true" outlineLevel="0" collapsed="false">
      <c r="A12" s="3" t="s">
        <v>9</v>
      </c>
    </row>
    <row r="13" customFormat="false" ht="30" hidden="false" customHeight="true" outlineLevel="0" collapsed="false">
      <c r="A13" s="3" t="s">
        <v>10</v>
      </c>
    </row>
    <row r="14" customFormat="false" ht="30" hidden="false" customHeight="true" outlineLevel="0" collapsed="false">
      <c r="A14" s="3" t="s">
        <v>11</v>
      </c>
    </row>
    <row r="15" customFormat="false" ht="4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30" hidden="false" customHeight="true" outlineLevel="0" collapsed="false">
      <c r="A18" s="3" t="s">
        <v>14</v>
      </c>
    </row>
    <row r="19" customFormat="false" ht="30" hidden="false" customHeight="true" outlineLevel="0" collapsed="false">
      <c r="A19" s="3" t="s">
        <v>15</v>
      </c>
    </row>
    <row r="20" customFormat="false" ht="30" hidden="false" customHeight="true" outlineLevel="0" collapsed="false">
      <c r="A20" s="3" t="s">
        <v>16</v>
      </c>
    </row>
    <row r="21" customFormat="false" ht="30" hidden="false" customHeight="true" outlineLevel="0" collapsed="false">
      <c r="A21" s="3" t="s">
        <v>17</v>
      </c>
    </row>
    <row r="22" customFormat="false" ht="30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4" t="s">
        <v>19</v>
      </c>
    </row>
    <row r="25" customFormat="false" ht="30" hidden="false" customHeight="true" outlineLevel="0" collapsed="false">
      <c r="A25" s="3" t="s">
        <v>20</v>
      </c>
    </row>
    <row r="26" customFormat="false" ht="45" hidden="false" customHeight="true" outlineLevel="0" collapsed="false">
      <c r="A26" s="3" t="s">
        <v>21</v>
      </c>
    </row>
    <row r="27" customFormat="false" ht="30" hidden="false" customHeight="true" outlineLevel="0" collapsed="false">
      <c r="A27" s="3" t="s">
        <v>22</v>
      </c>
    </row>
    <row r="28" customFormat="false" ht="30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 t="s">
        <v>24</v>
      </c>
    </row>
    <row r="30" customFormat="false" ht="30" hidden="false" customHeight="true" outlineLevel="0" collapsed="false">
      <c r="A30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7"/>
    <col collapsed="false" customWidth="true" hidden="false" outlineLevel="0" max="9" min="9" style="0" width="18"/>
  </cols>
  <sheetData>
    <row r="1" customFormat="false" ht="18.55" hidden="false" customHeight="false" outlineLevel="0" collapsed="false">
      <c r="A1" s="5" t="s">
        <v>26</v>
      </c>
    </row>
    <row r="2" customFormat="false" ht="15" hidden="false" customHeight="false" outlineLevel="0" collapsed="false">
      <c r="A2" s="6" t="s">
        <v>27</v>
      </c>
    </row>
    <row r="4" customFormat="false" ht="15" hidden="false" customHeight="false" outlineLevel="0" collapsed="false">
      <c r="A4" s="7" t="s">
        <v>28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</row>
    <row r="5" customFormat="false" ht="15" hidden="false" customHeight="true" outlineLevel="0" collapsed="false">
      <c r="A5" s="8" t="s">
        <v>37</v>
      </c>
      <c r="B5" s="9" t="s">
        <v>38</v>
      </c>
      <c r="C5" s="10" t="s">
        <v>39</v>
      </c>
      <c r="D5" s="11" t="n">
        <f aca="false">Energy!F8</f>
        <v>-0.076815097052625</v>
      </c>
      <c r="E5" s="11" t="n">
        <f aca="false">IFERROR(MEDIAN(Energy!F9:F13),"n/a")</f>
        <v>-0.0946407976160507</v>
      </c>
      <c r="F5" s="12" t="n">
        <f aca="false">IFERROR(D5-E5,"n/a")</f>
        <v>0.0178257005634257</v>
      </c>
      <c r="G5" s="13" t="n">
        <f aca="false">IF(ISNUMBER(D5),1+COUNTIF(Energy!F9:F13,"&gt;"&amp;D5),"n/a")</f>
        <v>3</v>
      </c>
      <c r="H5" s="13" t="n">
        <f aca="false">IF(ISNUMBER(D5),1+COUNT(Energy!F9:F13),"n/a")</f>
        <v>6</v>
      </c>
      <c r="I5" s="14" t="str">
        <f aca="false">IF(ISNUMBER(G5),IF((H5-G5)/(H5-1)&gt;=0.67,"Top third",IF((H5-G5)/(H5-1)&lt;=0.33,"Bottom third","Mid-pack")),IF(D5="n.m.","Bottom third (n.m.)","n/a"))</f>
        <v>Mid-pack</v>
      </c>
    </row>
    <row r="6" customFormat="false" ht="15" hidden="false" customHeight="false" outlineLevel="0" collapsed="false">
      <c r="A6" s="8"/>
      <c r="B6" s="8"/>
      <c r="C6" s="10" t="s">
        <v>40</v>
      </c>
      <c r="D6" s="11" t="n">
        <f aca="false">Energy!J8</f>
        <v>0.012682564989287</v>
      </c>
      <c r="E6" s="11" t="n">
        <f aca="false">IFERROR(MEDIAN(Energy!J9:J13),"n/a")</f>
        <v>0.0852777050297445</v>
      </c>
      <c r="F6" s="12" t="n">
        <f aca="false">IFERROR(D6-E6,"n/a")</f>
        <v>-0.0725951400404575</v>
      </c>
      <c r="G6" s="13" t="n">
        <f aca="false">IF(ISNUMBER(D6),1+COUNTIF(Energy!J9:J13,"&gt;"&amp;D6),"n/a")</f>
        <v>6</v>
      </c>
      <c r="H6" s="13" t="n">
        <f aca="false">IF(ISNUMBER(D6),1+COUNT(Energy!J9:J13),"n/a")</f>
        <v>6</v>
      </c>
      <c r="I6" s="14" t="str">
        <f aca="false">IF(ISNUMBER(G6),IF((H6-G6)/(H6-1)&gt;=0.67,"Top third",IF((H6-G6)/(H6-1)&lt;=0.33,"Bottom third","Mid-pack")),IF(D6="n.m.","Bottom third (n.m.)","n/a"))</f>
        <v>Bottom third</v>
      </c>
    </row>
    <row r="7" customFormat="false" ht="15" hidden="false" customHeight="false" outlineLevel="0" collapsed="false">
      <c r="A7" s="8"/>
      <c r="B7" s="8"/>
      <c r="C7" s="10" t="s">
        <v>41</v>
      </c>
      <c r="D7" s="11" t="n">
        <f aca="false">Energy!L8</f>
        <v>-0.00426974334142058</v>
      </c>
      <c r="E7" s="11" t="n">
        <f aca="false">IFERROR(MEDIAN(Energy!L9:L13),"n/a")</f>
        <v>0.0126635347320342</v>
      </c>
      <c r="F7" s="12" t="n">
        <f aca="false">IFERROR(D7-E7,"n/a")</f>
        <v>-0.0169332780734548</v>
      </c>
      <c r="G7" s="13" t="n">
        <f aca="false">IF(ISNUMBER(D7),1+COUNTIF(Energy!L9:L13,"&gt;"&amp;D7),"n/a")</f>
        <v>5</v>
      </c>
      <c r="H7" s="13" t="n">
        <f aca="false">IF(ISNUMBER(D7),1+COUNT(Energy!L9:L13),"n/a")</f>
        <v>6</v>
      </c>
      <c r="I7" s="14" t="str">
        <f aca="false">IF(ISNUMBER(G7),IF((H7-G7)/(H7-1)&gt;=0.67,"Top third",IF((H7-G7)/(H7-1)&lt;=0.33,"Bottom third","Mid-pack")),IF(D7="n.m.","Bottom third (n.m.)","n/a"))</f>
        <v>Bottom third</v>
      </c>
    </row>
    <row r="8" customFormat="false" ht="15" hidden="false" customHeight="false" outlineLevel="0" collapsed="false">
      <c r="A8" s="8"/>
      <c r="B8" s="8"/>
      <c r="C8" s="10" t="s">
        <v>42</v>
      </c>
      <c r="D8" s="11" t="n">
        <f aca="false">Energy!N8</f>
        <v>-0.0454692042234007</v>
      </c>
      <c r="E8" s="11" t="n">
        <f aca="false">IFERROR(MEDIAN(Energy!N9:N13),"n/a")</f>
        <v>0.0358584278749685</v>
      </c>
      <c r="F8" s="12" t="n">
        <f aca="false">IFERROR(D8-E8,"n/a")</f>
        <v>-0.0813276320983692</v>
      </c>
      <c r="G8" s="13" t="n">
        <f aca="false">IF(ISNUMBER(D8),1+COUNTIF(Energy!N9:N13,"&gt;"&amp;D8),"n/a")</f>
        <v>5</v>
      </c>
      <c r="H8" s="13" t="n">
        <f aca="false">IF(ISNUMBER(D8),1+COUNT(Energy!N9:N13),"n/a")</f>
        <v>6</v>
      </c>
      <c r="I8" s="14" t="str">
        <f aca="false">IF(ISNUMBER(G8),IF((H8-G8)/(H8-1)&gt;=0.67,"Top third",IF((H8-G8)/(H8-1)&lt;=0.33,"Bottom third","Mid-pack")),IF(D8="n.m.","Bottom third (n.m.)","n/a"))</f>
        <v>Bottom third</v>
      </c>
    </row>
    <row r="9" customFormat="false" ht="15" hidden="false" customHeight="false" outlineLevel="0" collapsed="false">
      <c r="A9" s="8"/>
      <c r="B9" s="8"/>
      <c r="C9" s="10" t="s">
        <v>43</v>
      </c>
      <c r="D9" s="11" t="n">
        <f aca="false">Energy!M8</f>
        <v>0.0481182162836485</v>
      </c>
      <c r="E9" s="11" t="n">
        <f aca="false">IFERROR(MEDIAN(Energy!M9:M13),"n/a")</f>
        <v>0.0808826928101862</v>
      </c>
      <c r="F9" s="12" t="n">
        <f aca="false">IFERROR(D9-E9,"n/a")</f>
        <v>-0.0327644765265378</v>
      </c>
      <c r="G9" s="13" t="n">
        <f aca="false">IF(ISNUMBER(D9),1+COUNTIF(Energy!M9:M13,"&gt;"&amp;D9),"n/a")</f>
        <v>6</v>
      </c>
      <c r="H9" s="13" t="n">
        <f aca="false">IF(ISNUMBER(D9),1+COUNT(Energy!M9:M13),"n/a")</f>
        <v>6</v>
      </c>
      <c r="I9" s="14" t="str">
        <f aca="false">IF(ISNUMBER(G9),IF((H9-G9)/(H9-1)&gt;=0.67,"Top third",IF((H9-G9)/(H9-1)&lt;=0.33,"Bottom third","Mid-pack")),IF(D9="n.m.","Bottom third (n.m.)","n/a"))</f>
        <v>Bottom third</v>
      </c>
    </row>
    <row r="10" customFormat="false" ht="15" hidden="false" customHeight="false" outlineLevel="0" collapsed="false">
      <c r="A10" s="8"/>
      <c r="B10" s="8"/>
      <c r="C10" s="10" t="s">
        <v>44</v>
      </c>
      <c r="D10" s="15" t="n">
        <f aca="false">Energy!S8</f>
        <v>4.45307932849572</v>
      </c>
      <c r="E10" s="15" t="n">
        <f aca="false">IFERROR(MEDIAN(Energy!S9:S13),"n/a")</f>
        <v>2.21803985141731</v>
      </c>
      <c r="F10" s="15" t="n">
        <f aca="false">IFERROR(D10-E10,"n/a")</f>
        <v>2.23503947707841</v>
      </c>
      <c r="G10" s="13" t="n">
        <f aca="false">IF(ISNUMBER(D10),1+COUNTIF(Energy!S9:S13,"&lt;"&amp;D10),"n/a")</f>
        <v>4</v>
      </c>
      <c r="H10" s="13" t="n">
        <f aca="false">IF(ISNUMBER(D10),1+COUNT(Energy!S9:S13),"n/a")</f>
        <v>6</v>
      </c>
      <c r="I10" s="14" t="str">
        <f aca="false">IF(ISNUMBER(G10),IF((H10-G10)/(H10-1)&gt;=0.67,"Top third",IF((H10-G10)/(H10-1)&lt;=0.33,"Bottom third","Mid-pack")),IF(D10="n.m.","Bottom third (n.m.)","n/a"))</f>
        <v>Mid-pack</v>
      </c>
    </row>
    <row r="11" customFormat="false" ht="15" hidden="false" customHeight="false" outlineLevel="0" collapsed="false">
      <c r="A11" s="8"/>
      <c r="B11" s="8"/>
      <c r="C11" s="10" t="s">
        <v>45</v>
      </c>
      <c r="D11" s="16" t="n">
        <f aca="false">Energy!T8</f>
        <v>-0.383097217236015</v>
      </c>
      <c r="E11" s="16" t="n">
        <f aca="false">IFERROR(MEDIAN(Energy!T9:T13),"n/a")</f>
        <v>2.86403075804021</v>
      </c>
      <c r="F11" s="16" t="n">
        <f aca="false">IFERROR(D11-E11,"n/a")</f>
        <v>-3.24712797527623</v>
      </c>
      <c r="G11" s="13" t="n">
        <f aca="false">IF(ISNUMBER(D11),1+COUNTIF(Energy!T9:T13,"&gt;"&amp;D11),"n/a")</f>
        <v>5</v>
      </c>
      <c r="H11" s="13" t="n">
        <f aca="false">IF(ISNUMBER(D11),1+COUNT(Energy!T9:T13),"n/a")</f>
        <v>6</v>
      </c>
      <c r="I11" s="14" t="str">
        <f aca="false">IF(ISNUMBER(G11),IF((H11-G11)/(H11-1)&gt;=0.67,"Top third",IF((H11-G11)/(H11-1)&lt;=0.33,"Bottom third","Mid-pack")),IF(D11="n.m.","Bottom third (n.m.)","n/a"))</f>
        <v>Bottom third</v>
      </c>
    </row>
    <row r="12" customFormat="false" ht="15" hidden="false" customHeight="false" outlineLevel="0" collapsed="false">
      <c r="A12" s="8"/>
      <c r="B12" s="8"/>
      <c r="C12" s="10" t="s">
        <v>46</v>
      </c>
      <c r="D12" s="11" t="n">
        <f aca="false">Energy!W8</f>
        <v>1.33676848067254</v>
      </c>
      <c r="E12" s="11" t="n">
        <f aca="false">IFERROR(MEDIAN(Energy!W9:W13),"n/a")</f>
        <v>0.947570369765638</v>
      </c>
      <c r="F12" s="12" t="n">
        <f aca="false">IFERROR(D12-E12,"n/a")</f>
        <v>0.389198110906906</v>
      </c>
      <c r="G12" s="13" t="n">
        <f aca="false">IF(ISNUMBER(D12),1+COUNTIF(Energy!W9:W13,"&gt;"&amp;D12),"n/a")</f>
        <v>2</v>
      </c>
      <c r="H12" s="13" t="n">
        <f aca="false">IF(ISNUMBER(D12),1+COUNT(Energy!W9:W13),"n/a")</f>
        <v>6</v>
      </c>
      <c r="I12" s="14" t="str">
        <f aca="false">IF(ISNUMBER(G12),IF((H12-G12)/(H12-1)&gt;=0.67,"Top third",IF((H12-G12)/(H12-1)&lt;=0.33,"Bottom third","Mid-pack")),IF(D12="n.m.","Bottom third (n.m.)","n/a"))</f>
        <v>Top third</v>
      </c>
    </row>
    <row r="13" customFormat="false" ht="15" hidden="false" customHeight="false" outlineLevel="0" collapsed="false">
      <c r="A13" s="8"/>
      <c r="B13" s="8"/>
      <c r="C13" s="10" t="s">
        <v>47</v>
      </c>
      <c r="D13" s="11" t="n">
        <f aca="false">Energy!Y8</f>
        <v>0.0130792559261449</v>
      </c>
      <c r="E13" s="11" t="n">
        <f aca="false">IFERROR(MEDIAN(Energy!Y9:Y13),"n/a")</f>
        <v>0.0103718840070513</v>
      </c>
      <c r="F13" s="12" t="n">
        <f aca="false">IFERROR(D13-E13,"n/a")</f>
        <v>0.0027073719190936</v>
      </c>
      <c r="G13" s="13" t="n">
        <f aca="false">IF(ISNUMBER(D13),1+COUNTIF(Energy!Y9:Y13,"&gt;"&amp;D13),"n/a")</f>
        <v>3</v>
      </c>
      <c r="H13" s="13" t="n">
        <f aca="false">IF(ISNUMBER(D13),1+COUNT(Energy!Y9:Y13),"n/a")</f>
        <v>6</v>
      </c>
      <c r="I13" s="14" t="str">
        <f aca="false">IF(ISNUMBER(G13),IF((H13-G13)/(H13-1)&gt;=0.67,"Top third",IF((H13-G13)/(H13-1)&lt;=0.33,"Bottom third","Mid-pack")),IF(D13="n.m.","Bottom third (n.m.)","n/a"))</f>
        <v>Mid-pack</v>
      </c>
    </row>
    <row r="14" customFormat="false" ht="15" hidden="false" customHeight="true" outlineLevel="0" collapsed="false">
      <c r="A14" s="8" t="s">
        <v>48</v>
      </c>
      <c r="B14" s="9" t="s">
        <v>49</v>
      </c>
      <c r="C14" s="10" t="s">
        <v>39</v>
      </c>
      <c r="D14" s="11" t="n">
        <f aca="false">Agriculture!F8</f>
        <v>0.00106000824450847</v>
      </c>
      <c r="E14" s="11" t="n">
        <f aca="false">IFERROR(MEDIAN(Agriculture!F12:F15),"n/a")</f>
        <v>0.0499827046614249</v>
      </c>
      <c r="F14" s="12" t="n">
        <f aca="false">IFERROR(D14-E14,"n/a")</f>
        <v>-0.0489226964169164</v>
      </c>
      <c r="G14" s="13" t="n">
        <f aca="false">IF(ISNUMBER(D14),1+COUNTIF(Agriculture!F12:F15,"&gt;"&amp;D14),"n/a")</f>
        <v>4</v>
      </c>
      <c r="H14" s="13" t="n">
        <f aca="false">IF(ISNUMBER(D14),1+COUNT(Agriculture!F12:F15),"n/a")</f>
        <v>5</v>
      </c>
      <c r="I14" s="14" t="str">
        <f aca="false">IF(ISNUMBER(G14),IF((H14-G14)/(H14-1)&gt;=0.67,"Top third",IF((H14-G14)/(H14-1)&lt;=0.33,"Bottom third","Mid-pack")),IF(D14="n.m.","Bottom third (n.m.)","n/a"))</f>
        <v>Bottom third</v>
      </c>
    </row>
    <row r="15" customFormat="false" ht="15" hidden="false" customHeight="false" outlineLevel="0" collapsed="false">
      <c r="A15" s="8"/>
      <c r="B15" s="8"/>
      <c r="C15" s="10" t="s">
        <v>40</v>
      </c>
      <c r="D15" s="11" t="n">
        <f aca="false">Agriculture!I8</f>
        <v>0.123948467556915</v>
      </c>
      <c r="E15" s="11" t="n">
        <f aca="false">IFERROR(MEDIAN(Agriculture!I12:I15),"n/a")</f>
        <v>0.16751569970375</v>
      </c>
      <c r="F15" s="12" t="n">
        <f aca="false">IFERROR(D15-E15,"n/a")</f>
        <v>-0.0435672321468352</v>
      </c>
      <c r="G15" s="13" t="n">
        <f aca="false">IF(ISNUMBER(D15),1+COUNTIF(Agriculture!I12:I15,"&gt;"&amp;D15),"n/a")</f>
        <v>4</v>
      </c>
      <c r="H15" s="13" t="n">
        <f aca="false">IF(ISNUMBER(D15),1+COUNT(Agriculture!I12:I15),"n/a")</f>
        <v>5</v>
      </c>
      <c r="I15" s="14" t="str">
        <f aca="false">IF(ISNUMBER(G15),IF((H15-G15)/(H15-1)&gt;=0.67,"Top third",IF((H15-G15)/(H15-1)&lt;=0.33,"Bottom third","Mid-pack")),IF(D15="n.m.","Bottom third (n.m.)","n/a"))</f>
        <v>Bottom third</v>
      </c>
    </row>
    <row r="16" customFormat="false" ht="15" hidden="false" customHeight="false" outlineLevel="0" collapsed="false">
      <c r="A16" s="8"/>
      <c r="B16" s="8"/>
      <c r="C16" s="10" t="s">
        <v>41</v>
      </c>
      <c r="D16" s="11" t="n">
        <f aca="false">Agriculture!K8</f>
        <v>-0.00894170245308548</v>
      </c>
      <c r="E16" s="11" t="n">
        <f aca="false">IFERROR(MEDIAN(Agriculture!K12:K15),"n/a")</f>
        <v>0.0639852217039913</v>
      </c>
      <c r="F16" s="12" t="n">
        <f aca="false">IFERROR(D16-E16,"n/a")</f>
        <v>-0.0729269241570768</v>
      </c>
      <c r="G16" s="13" t="n">
        <f aca="false">IF(ISNUMBER(D16),1+COUNTIF(Agriculture!K12:K15,"&gt;"&amp;D16),"n/a")</f>
        <v>4</v>
      </c>
      <c r="H16" s="13" t="n">
        <f aca="false">IF(ISNUMBER(D16),1+COUNT(Agriculture!K12:K15),"n/a")</f>
        <v>5</v>
      </c>
      <c r="I16" s="14" t="str">
        <f aca="false">IF(ISNUMBER(G16),IF((H16-G16)/(H16-1)&gt;=0.67,"Top third",IF((H16-G16)/(H16-1)&lt;=0.33,"Bottom third","Mid-pack")),IF(D16="n.m.","Bottom third (n.m.)","n/a"))</f>
        <v>Bottom third</v>
      </c>
    </row>
    <row r="17" customFormat="false" ht="15" hidden="false" customHeight="false" outlineLevel="0" collapsed="false">
      <c r="A17" s="8"/>
      <c r="B17" s="8"/>
      <c r="C17" s="10" t="s">
        <v>42</v>
      </c>
      <c r="D17" s="11" t="n">
        <f aca="false">Agriculture!M8</f>
        <v>-0.0207536865101038</v>
      </c>
      <c r="E17" s="11" t="n">
        <f aca="false">IFERROR(MEDIAN(Agriculture!M12:M15),"n/a")</f>
        <v>0.0546169748710477</v>
      </c>
      <c r="F17" s="12" t="n">
        <f aca="false">IFERROR(D17-E17,"n/a")</f>
        <v>-0.0753706613811515</v>
      </c>
      <c r="G17" s="13" t="n">
        <f aca="false">IF(ISNUMBER(D17),1+COUNTIF(Agriculture!M12:M15,"&gt;"&amp;D17),"n/a")</f>
        <v>4</v>
      </c>
      <c r="H17" s="13" t="n">
        <f aca="false">IF(ISNUMBER(D17),1+COUNT(Agriculture!M12:M15),"n/a")</f>
        <v>5</v>
      </c>
      <c r="I17" s="14" t="str">
        <f aca="false">IF(ISNUMBER(G17),IF((H17-G17)/(H17-1)&gt;=0.67,"Top third",IF((H17-G17)/(H17-1)&lt;=0.33,"Bottom third","Mid-pack")),IF(D17="n.m.","Bottom third (n.m.)","n/a"))</f>
        <v>Bottom third</v>
      </c>
    </row>
    <row r="18" customFormat="false" ht="15" hidden="false" customHeight="false" outlineLevel="0" collapsed="false">
      <c r="A18" s="8"/>
      <c r="B18" s="8"/>
      <c r="C18" s="10" t="s">
        <v>43</v>
      </c>
      <c r="D18" s="11" t="n">
        <f aca="false">Agriculture!L8</f>
        <v>0.0699488745767213</v>
      </c>
      <c r="E18" s="11" t="n">
        <f aca="false">IFERROR(MEDIAN(Agriculture!L12:L15),"n/a")</f>
        <v>0.0869192130763803</v>
      </c>
      <c r="F18" s="12" t="n">
        <f aca="false">IFERROR(D18-E18,"n/a")</f>
        <v>-0.0169703384996589</v>
      </c>
      <c r="G18" s="13" t="n">
        <f aca="false">IF(ISNUMBER(D18),1+COUNTIF(Agriculture!L12:L15,"&gt;"&amp;D18),"n/a")</f>
        <v>4</v>
      </c>
      <c r="H18" s="13" t="n">
        <f aca="false">IF(ISNUMBER(D18),1+COUNT(Agriculture!L12:L15),"n/a")</f>
        <v>5</v>
      </c>
      <c r="I18" s="14" t="str">
        <f aca="false">IF(ISNUMBER(G18),IF((H18-G18)/(H18-1)&gt;=0.67,"Top third",IF((H18-G18)/(H18-1)&lt;=0.33,"Bottom third","Mid-pack")),IF(D18="n.m.","Bottom third (n.m.)","n/a"))</f>
        <v>Bottom third</v>
      </c>
    </row>
    <row r="19" customFormat="false" ht="15" hidden="false" customHeight="false" outlineLevel="0" collapsed="false">
      <c r="A19" s="8"/>
      <c r="B19" s="8"/>
      <c r="C19" s="10" t="s">
        <v>44</v>
      </c>
      <c r="D19" s="15" t="n">
        <f aca="false">Agriculture!R8</f>
        <v>4.67679164689131</v>
      </c>
      <c r="E19" s="15" t="n">
        <f aca="false">IFERROR(MEDIAN(Agriculture!R12:R15),"n/a")</f>
        <v>1.33218266726508</v>
      </c>
      <c r="F19" s="15" t="n">
        <f aca="false">IFERROR(D19-E19,"n/a")</f>
        <v>3.34460897962623</v>
      </c>
      <c r="G19" s="13" t="n">
        <f aca="false">IF(ISNUMBER(D19),1+COUNTIF(Agriculture!R12:R15,"&lt;"&amp;D19),"n/a")</f>
        <v>4</v>
      </c>
      <c r="H19" s="13" t="n">
        <f aca="false">IF(ISNUMBER(D19),1+COUNT(Agriculture!R12:R15),"n/a")</f>
        <v>4</v>
      </c>
      <c r="I19" s="14" t="str">
        <f aca="false">IF(ISNUMBER(G19),IF((H19-G19)/(H19-1)&gt;=0.67,"Top third",IF((H19-G19)/(H19-1)&lt;=0.33,"Bottom third","Mid-pack")),IF(D19="n.m.","Bottom third (n.m.)","n/a"))</f>
        <v>Bottom third</v>
      </c>
    </row>
    <row r="20" customFormat="false" ht="15" hidden="false" customHeight="false" outlineLevel="0" collapsed="false">
      <c r="A20" s="8"/>
      <c r="B20" s="8"/>
      <c r="C20" s="10" t="s">
        <v>45</v>
      </c>
      <c r="D20" s="16" t="n">
        <f aca="false">Agriculture!S8</f>
        <v>1.58785529715762</v>
      </c>
      <c r="E20" s="16" t="n">
        <f aca="false">IFERROR(MEDIAN(Agriculture!S12:S15),"n/a")</f>
        <v>9.9984965167559</v>
      </c>
      <c r="F20" s="16" t="n">
        <f aca="false">IFERROR(D20-E20,"n/a")</f>
        <v>-8.41064121959828</v>
      </c>
      <c r="G20" s="13" t="n">
        <f aca="false">IF(ISNUMBER(D20),1+COUNTIF(Agriculture!S12:S15,"&gt;"&amp;D20),"n/a")</f>
        <v>4</v>
      </c>
      <c r="H20" s="13" t="n">
        <f aca="false">IF(ISNUMBER(D20),1+COUNT(Agriculture!S12:S15),"n/a")</f>
        <v>5</v>
      </c>
      <c r="I20" s="14" t="str">
        <f aca="false">IF(ISNUMBER(G20),IF((H20-G20)/(H20-1)&gt;=0.67,"Top third",IF((H20-G20)/(H20-1)&lt;=0.33,"Bottom third","Mid-pack")),IF(D20="n.m.","Bottom third (n.m.)","n/a"))</f>
        <v>Bottom third</v>
      </c>
    </row>
    <row r="21" customFormat="false" ht="15" hidden="false" customHeight="false" outlineLevel="0" collapsed="false">
      <c r="A21" s="8"/>
      <c r="B21" s="8"/>
      <c r="C21" s="10" t="s">
        <v>46</v>
      </c>
      <c r="D21" s="11" t="n">
        <f aca="false">Agriculture!V8</f>
        <v>0.724252491694352</v>
      </c>
      <c r="E21" s="11" t="n">
        <f aca="false">IFERROR(MEDIAN(Agriculture!V12:V15),"n/a")</f>
        <v>0.721135049488652</v>
      </c>
      <c r="F21" s="12" t="n">
        <f aca="false">IFERROR(D21-E21,"n/a")</f>
        <v>0.00311744220570054</v>
      </c>
      <c r="G21" s="13" t="n">
        <f aca="false">IF(ISNUMBER(D21),1+COUNTIF(Agriculture!V12:V15,"&gt;"&amp;D21),"n/a")</f>
        <v>2</v>
      </c>
      <c r="H21" s="13" t="n">
        <f aca="false">IF(ISNUMBER(D21),1+COUNT(Agriculture!V12:V15),"n/a")</f>
        <v>4</v>
      </c>
      <c r="I21" s="14" t="str">
        <f aca="false">IF(ISNUMBER(G21),IF((H21-G21)/(H21-1)&gt;=0.67,"Top third",IF((H21-G21)/(H21-1)&lt;=0.33,"Bottom third","Mid-pack")),IF(D21="n.m.","Bottom third (n.m.)","n/a"))</f>
        <v>Mid-pack</v>
      </c>
    </row>
    <row r="22" customFormat="false" ht="15" hidden="false" customHeight="false" outlineLevel="0" collapsed="false">
      <c r="A22" s="8"/>
      <c r="B22" s="8"/>
      <c r="C22" s="10" t="s">
        <v>47</v>
      </c>
      <c r="D22" s="11" t="n">
        <f aca="false">Agriculture!X8</f>
        <v>0.0181775398552856</v>
      </c>
      <c r="E22" s="11" t="n">
        <f aca="false">IFERROR(MEDIAN(Agriculture!X12:X15),"n/a")</f>
        <v>-0.00293184660387145</v>
      </c>
      <c r="F22" s="12" t="n">
        <f aca="false">IFERROR(D22-E22,"n/a")</f>
        <v>0.0211093864591571</v>
      </c>
      <c r="G22" s="13" t="n">
        <f aca="false">IF(ISNUMBER(D22),1+COUNTIF(Agriculture!X12:X15,"&gt;"&amp;D22),"n/a")</f>
        <v>3</v>
      </c>
      <c r="H22" s="13" t="n">
        <f aca="false">IF(ISNUMBER(D22),1+COUNT(Agriculture!X12:X15),"n/a")</f>
        <v>5</v>
      </c>
      <c r="I22" s="14" t="str">
        <f aca="false">IF(ISNUMBER(G22),IF((H22-G22)/(H22-1)&gt;=0.67,"Top third",IF((H22-G22)/(H22-1)&lt;=0.33,"Bottom third","Mid-pack")),IF(D22="n.m.","Bottom third (n.m.)","n/a"))</f>
        <v>Mid-pack</v>
      </c>
    </row>
    <row r="23" customFormat="false" ht="15" hidden="false" customHeight="true" outlineLevel="0" collapsed="false">
      <c r="A23" s="8" t="s">
        <v>50</v>
      </c>
      <c r="B23" s="9" t="s">
        <v>49</v>
      </c>
      <c r="C23" s="10" t="s">
        <v>39</v>
      </c>
      <c r="D23" s="11" t="n">
        <f aca="false">Agriculture!F9</f>
        <v>-0.0184298410277846</v>
      </c>
      <c r="E23" s="11" t="n">
        <f aca="false">IFERROR(MEDIAN(Agriculture!F12:F15),"n/a")</f>
        <v>0.0499827046614249</v>
      </c>
      <c r="F23" s="12" t="n">
        <f aca="false">IFERROR(D23-E23,"n/a")</f>
        <v>-0.0684125456892094</v>
      </c>
      <c r="G23" s="13" t="n">
        <f aca="false">IF(ISNUMBER(D23),1+COUNTIF(Agriculture!F12:F15,"&gt;"&amp;D23),"n/a")</f>
        <v>4</v>
      </c>
      <c r="H23" s="13" t="n">
        <f aca="false">IF(ISNUMBER(D23),1+COUNT(Agriculture!F12:F15),"n/a")</f>
        <v>5</v>
      </c>
      <c r="I23" s="14" t="str">
        <f aca="false">IF(ISNUMBER(G23),IF((H23-G23)/(H23-1)&gt;=0.67,"Top third",IF((H23-G23)/(H23-1)&lt;=0.33,"Bottom third","Mid-pack")),IF(D23="n.m.","Bottom third (n.m.)","n/a"))</f>
        <v>Bottom third</v>
      </c>
    </row>
    <row r="24" customFormat="false" ht="15" hidden="false" customHeight="false" outlineLevel="0" collapsed="false">
      <c r="A24" s="8"/>
      <c r="B24" s="8"/>
      <c r="C24" s="10" t="s">
        <v>40</v>
      </c>
      <c r="D24" s="11" t="n">
        <f aca="false">Agriculture!I9</f>
        <v>0.118815380534377</v>
      </c>
      <c r="E24" s="11" t="n">
        <f aca="false">IFERROR(MEDIAN(Agriculture!I12:I15),"n/a")</f>
        <v>0.16751569970375</v>
      </c>
      <c r="F24" s="12" t="n">
        <f aca="false">IFERROR(D24-E24,"n/a")</f>
        <v>-0.0487003191693734</v>
      </c>
      <c r="G24" s="13" t="n">
        <f aca="false">IF(ISNUMBER(D24),1+COUNTIF(Agriculture!I12:I15,"&gt;"&amp;D24),"n/a")</f>
        <v>4</v>
      </c>
      <c r="H24" s="13" t="n">
        <f aca="false">IF(ISNUMBER(D24),1+COUNT(Agriculture!I12:I15),"n/a")</f>
        <v>5</v>
      </c>
      <c r="I24" s="14" t="str">
        <f aca="false">IF(ISNUMBER(G24),IF((H24-G24)/(H24-1)&gt;=0.67,"Top third",IF((H24-G24)/(H24-1)&lt;=0.33,"Bottom third","Mid-pack")),IF(D24="n.m.","Bottom third (n.m.)","n/a"))</f>
        <v>Bottom third</v>
      </c>
    </row>
    <row r="25" customFormat="false" ht="15" hidden="false" customHeight="false" outlineLevel="0" collapsed="false">
      <c r="A25" s="8"/>
      <c r="B25" s="8"/>
      <c r="C25" s="10" t="s">
        <v>41</v>
      </c>
      <c r="D25" s="11" t="n">
        <f aca="false">Agriculture!K9</f>
        <v>-0.0361283108350557</v>
      </c>
      <c r="E25" s="11" t="n">
        <f aca="false">IFERROR(MEDIAN(Agriculture!K12:K15),"n/a")</f>
        <v>0.0639852217039913</v>
      </c>
      <c r="F25" s="12" t="n">
        <f aca="false">IFERROR(D25-E25,"n/a")</f>
        <v>-0.100113532539047</v>
      </c>
      <c r="G25" s="13" t="n">
        <f aca="false">IF(ISNUMBER(D25),1+COUNTIF(Agriculture!K12:K15,"&gt;"&amp;D25),"n/a")</f>
        <v>4</v>
      </c>
      <c r="H25" s="13" t="n">
        <f aca="false">IF(ISNUMBER(D25),1+COUNT(Agriculture!K12:K15),"n/a")</f>
        <v>5</v>
      </c>
      <c r="I25" s="14" t="str">
        <f aca="false">IF(ISNUMBER(G25),IF((H25-G25)/(H25-1)&gt;=0.67,"Top third",IF((H25-G25)/(H25-1)&lt;=0.33,"Bottom third","Mid-pack")),IF(D25="n.m.","Bottom third (n.m.)","n/a"))</f>
        <v>Bottom third</v>
      </c>
    </row>
    <row r="26" customFormat="false" ht="15" hidden="false" customHeight="false" outlineLevel="0" collapsed="false">
      <c r="A26" s="8"/>
      <c r="B26" s="8"/>
      <c r="C26" s="10" t="s">
        <v>42</v>
      </c>
      <c r="D26" s="11" t="n">
        <f aca="false">Agriculture!M9</f>
        <v>-0.0571954345122259</v>
      </c>
      <c r="E26" s="11" t="n">
        <f aca="false">IFERROR(MEDIAN(Agriculture!M12:M15),"n/a")</f>
        <v>0.0546169748710477</v>
      </c>
      <c r="F26" s="12" t="n">
        <f aca="false">IFERROR(D26-E26,"n/a")</f>
        <v>-0.111812409383274</v>
      </c>
      <c r="G26" s="13" t="n">
        <f aca="false">IF(ISNUMBER(D26),1+COUNTIF(Agriculture!M12:M15,"&gt;"&amp;D26),"n/a")</f>
        <v>4</v>
      </c>
      <c r="H26" s="13" t="n">
        <f aca="false">IF(ISNUMBER(D26),1+COUNT(Agriculture!M12:M15),"n/a")</f>
        <v>5</v>
      </c>
      <c r="I26" s="14" t="str">
        <f aca="false">IF(ISNUMBER(G26),IF((H26-G26)/(H26-1)&gt;=0.67,"Top third",IF((H26-G26)/(H26-1)&lt;=0.33,"Bottom third","Mid-pack")),IF(D26="n.m.","Bottom third (n.m.)","n/a"))</f>
        <v>Bottom third</v>
      </c>
    </row>
    <row r="27" customFormat="false" ht="15" hidden="false" customHeight="false" outlineLevel="0" collapsed="false">
      <c r="A27" s="8"/>
      <c r="B27" s="8"/>
      <c r="C27" s="10" t="s">
        <v>43</v>
      </c>
      <c r="D27" s="11" t="n">
        <f aca="false">Agriculture!L9</f>
        <v>0.0698118450417315</v>
      </c>
      <c r="E27" s="11" t="n">
        <f aca="false">IFERROR(MEDIAN(Agriculture!L12:L15),"n/a")</f>
        <v>0.0869192130763803</v>
      </c>
      <c r="F27" s="12" t="n">
        <f aca="false">IFERROR(D27-E27,"n/a")</f>
        <v>-0.0171073680346488</v>
      </c>
      <c r="G27" s="13" t="n">
        <f aca="false">IF(ISNUMBER(D27),1+COUNTIF(Agriculture!L12:L15,"&gt;"&amp;D27),"n/a")</f>
        <v>4</v>
      </c>
      <c r="H27" s="13" t="n">
        <f aca="false">IF(ISNUMBER(D27),1+COUNT(Agriculture!L12:L15),"n/a")</f>
        <v>5</v>
      </c>
      <c r="I27" s="14" t="str">
        <f aca="false">IF(ISNUMBER(G27),IF((H27-G27)/(H27-1)&gt;=0.67,"Top third",IF((H27-G27)/(H27-1)&lt;=0.33,"Bottom third","Mid-pack")),IF(D27="n.m.","Bottom third (n.m.)","n/a"))</f>
        <v>Bottom third</v>
      </c>
    </row>
    <row r="28" customFormat="false" ht="15" hidden="false" customHeight="false" outlineLevel="0" collapsed="false">
      <c r="A28" s="8"/>
      <c r="B28" s="8"/>
      <c r="C28" s="10" t="s">
        <v>44</v>
      </c>
      <c r="D28" s="15" t="n">
        <f aca="false">Agriculture!R9</f>
        <v>4.12947222236761</v>
      </c>
      <c r="E28" s="15" t="n">
        <f aca="false">IFERROR(MEDIAN(Agriculture!R12:R15),"n/a")</f>
        <v>1.33218266726508</v>
      </c>
      <c r="F28" s="15" t="n">
        <f aca="false">IFERROR(D28-E28,"n/a")</f>
        <v>2.79728955510253</v>
      </c>
      <c r="G28" s="13" t="n">
        <f aca="false">IF(ISNUMBER(D28),1+COUNTIF(Agriculture!R12:R15,"&lt;"&amp;D28),"n/a")</f>
        <v>4</v>
      </c>
      <c r="H28" s="13" t="n">
        <f aca="false">IF(ISNUMBER(D28),1+COUNT(Agriculture!R12:R15),"n/a")</f>
        <v>4</v>
      </c>
      <c r="I28" s="14" t="str">
        <f aca="false">IF(ISNUMBER(G28),IF((H28-G28)/(H28-1)&gt;=0.67,"Top third",IF((H28-G28)/(H28-1)&lt;=0.33,"Bottom third","Mid-pack")),IF(D28="n.m.","Bottom third (n.m.)","n/a"))</f>
        <v>Bottom third</v>
      </c>
    </row>
    <row r="29" customFormat="false" ht="15" hidden="false" customHeight="false" outlineLevel="0" collapsed="false">
      <c r="A29" s="8"/>
      <c r="B29" s="8"/>
      <c r="C29" s="10" t="s">
        <v>45</v>
      </c>
      <c r="D29" s="16" t="n">
        <f aca="false">Agriculture!S9</f>
        <v>1.30744255768709</v>
      </c>
      <c r="E29" s="16" t="n">
        <f aca="false">IFERROR(MEDIAN(Agriculture!S12:S15),"n/a")</f>
        <v>9.9984965167559</v>
      </c>
      <c r="F29" s="16" t="n">
        <f aca="false">IFERROR(D29-E29,"n/a")</f>
        <v>-8.69105395906881</v>
      </c>
      <c r="G29" s="13" t="n">
        <f aca="false">IF(ISNUMBER(D29),1+COUNTIF(Agriculture!S12:S15,"&gt;"&amp;D29),"n/a")</f>
        <v>4</v>
      </c>
      <c r="H29" s="13" t="n">
        <f aca="false">IF(ISNUMBER(D29),1+COUNT(Agriculture!S12:S15),"n/a")</f>
        <v>5</v>
      </c>
      <c r="I29" s="14" t="str">
        <f aca="false">IF(ISNUMBER(G29),IF((H29-G29)/(H29-1)&gt;=0.67,"Top third",IF((H29-G29)/(H29-1)&lt;=0.33,"Bottom third","Mid-pack")),IF(D29="n.m.","Bottom third (n.m.)","n/a"))</f>
        <v>Bottom third</v>
      </c>
    </row>
    <row r="30" customFormat="false" ht="15" hidden="false" customHeight="false" outlineLevel="0" collapsed="false">
      <c r="A30" s="8"/>
      <c r="B30" s="8"/>
      <c r="C30" s="10" t="s">
        <v>46</v>
      </c>
      <c r="D30" s="11" t="n">
        <f aca="false">Agriculture!V9</f>
        <v>1.17726665003422</v>
      </c>
      <c r="E30" s="11" t="n">
        <f aca="false">IFERROR(MEDIAN(Agriculture!V12:V15),"n/a")</f>
        <v>0.721135049488652</v>
      </c>
      <c r="F30" s="12" t="n">
        <f aca="false">IFERROR(D30-E30,"n/a")</f>
        <v>0.456131600545573</v>
      </c>
      <c r="G30" s="13" t="n">
        <f aca="false">IF(ISNUMBER(D30),1+COUNTIF(Agriculture!V12:V15,"&gt;"&amp;D30),"n/a")</f>
        <v>1</v>
      </c>
      <c r="H30" s="13" t="n">
        <f aca="false">IF(ISNUMBER(D30),1+COUNT(Agriculture!V12:V15),"n/a")</f>
        <v>4</v>
      </c>
      <c r="I30" s="14" t="str">
        <f aca="false">IF(ISNUMBER(G30),IF((H30-G30)/(H30-1)&gt;=0.67,"Top third",IF((H30-G30)/(H30-1)&lt;=0.33,"Bottom third","Mid-pack")),IF(D30="n.m.","Bottom third (n.m.)","n/a"))</f>
        <v>Top third</v>
      </c>
    </row>
    <row r="31" customFormat="false" ht="15" hidden="false" customHeight="false" outlineLevel="0" collapsed="false">
      <c r="A31" s="8"/>
      <c r="B31" s="8"/>
      <c r="C31" s="10" t="s">
        <v>47</v>
      </c>
      <c r="D31" s="11" t="n">
        <f aca="false">Agriculture!X9</f>
        <v>0.0979469182941501</v>
      </c>
      <c r="E31" s="11" t="n">
        <f aca="false">IFERROR(MEDIAN(Agriculture!X12:X15),"n/a")</f>
        <v>-0.00293184660387145</v>
      </c>
      <c r="F31" s="12" t="n">
        <f aca="false">IFERROR(D31-E31,"n/a")</f>
        <v>0.100878764898022</v>
      </c>
      <c r="G31" s="13" t="n">
        <f aca="false">IF(ISNUMBER(D31),1+COUNTIF(Agriculture!X12:X15,"&gt;"&amp;D31),"n/a")</f>
        <v>2</v>
      </c>
      <c r="H31" s="13" t="n">
        <f aca="false">IF(ISNUMBER(D31),1+COUNT(Agriculture!X12:X15),"n/a")</f>
        <v>5</v>
      </c>
      <c r="I31" s="14" t="str">
        <f aca="false">IF(ISNUMBER(G31),IF((H31-G31)/(H31-1)&gt;=0.67,"Top third",IF((H31-G31)/(H31-1)&lt;=0.33,"Bottom third","Mid-pack")),IF(D31="n.m.","Bottom third (n.m.)","n/a"))</f>
        <v>Top third</v>
      </c>
    </row>
    <row r="32" customFormat="false" ht="15" hidden="false" customHeight="true" outlineLevel="0" collapsed="false">
      <c r="A32" s="8" t="s">
        <v>51</v>
      </c>
      <c r="B32" s="9" t="s">
        <v>49</v>
      </c>
      <c r="C32" s="10" t="s">
        <v>39</v>
      </c>
      <c r="D32" s="11" t="n">
        <f aca="false">Agriculture!F10</f>
        <v>0.137583730858352</v>
      </c>
      <c r="E32" s="11" t="n">
        <f aca="false">IFERROR(MEDIAN(Agriculture!F12:F15),"n/a")</f>
        <v>0.0499827046614249</v>
      </c>
      <c r="F32" s="12" t="n">
        <f aca="false">IFERROR(D32-E32,"n/a")</f>
        <v>0.0876010261969275</v>
      </c>
      <c r="G32" s="13" t="n">
        <f aca="false">IF(ISNUMBER(D32),1+COUNTIF(Agriculture!F12:F15,"&gt;"&amp;D32),"n/a")</f>
        <v>2</v>
      </c>
      <c r="H32" s="13" t="n">
        <f aca="false">IF(ISNUMBER(D32),1+COUNT(Agriculture!F12:F15),"n/a")</f>
        <v>5</v>
      </c>
      <c r="I32" s="14" t="str">
        <f aca="false">IF(ISNUMBER(G32),IF((H32-G32)/(H32-1)&gt;=0.67,"Top third",IF((H32-G32)/(H32-1)&lt;=0.33,"Bottom third","Mid-pack")),IF(D32="n.m.","Bottom third (n.m.)","n/a"))</f>
        <v>Top third</v>
      </c>
    </row>
    <row r="33" customFormat="false" ht="15" hidden="false" customHeight="false" outlineLevel="0" collapsed="false">
      <c r="A33" s="8"/>
      <c r="B33" s="8"/>
      <c r="C33" s="10" t="s">
        <v>40</v>
      </c>
      <c r="D33" s="11" t="n">
        <f aca="false">Agriculture!I10</f>
        <v>0.258003670971257</v>
      </c>
      <c r="E33" s="11" t="n">
        <f aca="false">IFERROR(MEDIAN(Agriculture!I12:I15),"n/a")</f>
        <v>0.16751569970375</v>
      </c>
      <c r="F33" s="12" t="n">
        <f aca="false">IFERROR(D33-E33,"n/a")</f>
        <v>0.090487971267507</v>
      </c>
      <c r="G33" s="13" t="n">
        <f aca="false">IF(ISNUMBER(D33),1+COUNTIF(Agriculture!I12:I15,"&gt;"&amp;D33),"n/a")</f>
        <v>1</v>
      </c>
      <c r="H33" s="13" t="n">
        <f aca="false">IF(ISNUMBER(D33),1+COUNT(Agriculture!I12:I15),"n/a")</f>
        <v>5</v>
      </c>
      <c r="I33" s="14" t="str">
        <f aca="false">IF(ISNUMBER(G33),IF((H33-G33)/(H33-1)&gt;=0.67,"Top third",IF((H33-G33)/(H33-1)&lt;=0.33,"Bottom third","Mid-pack")),IF(D33="n.m.","Bottom third (n.m.)","n/a"))</f>
        <v>Top third</v>
      </c>
    </row>
    <row r="34" customFormat="false" ht="15" hidden="false" customHeight="false" outlineLevel="0" collapsed="false">
      <c r="A34" s="8"/>
      <c r="B34" s="8"/>
      <c r="C34" s="10" t="s">
        <v>41</v>
      </c>
      <c r="D34" s="11" t="n">
        <f aca="false">Agriculture!K10</f>
        <v>0.108385645403856</v>
      </c>
      <c r="E34" s="11" t="n">
        <f aca="false">IFERROR(MEDIAN(Agriculture!K12:K15),"n/a")</f>
        <v>0.0639852217039913</v>
      </c>
      <c r="F34" s="12" t="n">
        <f aca="false">IFERROR(D34-E34,"n/a")</f>
        <v>0.0444004236998644</v>
      </c>
      <c r="G34" s="13" t="n">
        <f aca="false">IF(ISNUMBER(D34),1+COUNTIF(Agriculture!K12:K15,"&gt;"&amp;D34),"n/a")</f>
        <v>1</v>
      </c>
      <c r="H34" s="13" t="n">
        <f aca="false">IF(ISNUMBER(D34),1+COUNT(Agriculture!K12:K15),"n/a")</f>
        <v>5</v>
      </c>
      <c r="I34" s="14" t="str">
        <f aca="false">IF(ISNUMBER(G34),IF((H34-G34)/(H34-1)&gt;=0.67,"Top third",IF((H34-G34)/(H34-1)&lt;=0.33,"Bottom third","Mid-pack")),IF(D34="n.m.","Bottom third (n.m.)","n/a"))</f>
        <v>Top third</v>
      </c>
    </row>
    <row r="35" customFormat="false" ht="15" hidden="false" customHeight="false" outlineLevel="0" collapsed="false">
      <c r="A35" s="8"/>
      <c r="B35" s="8"/>
      <c r="C35" s="10" t="s">
        <v>42</v>
      </c>
      <c r="D35" s="11" t="n">
        <f aca="false">Agriculture!M10</f>
        <v>0.116873703112485</v>
      </c>
      <c r="E35" s="11" t="n">
        <f aca="false">IFERROR(MEDIAN(Agriculture!M12:M15),"n/a")</f>
        <v>0.0546169748710477</v>
      </c>
      <c r="F35" s="12" t="n">
        <f aca="false">IFERROR(D35-E35,"n/a")</f>
        <v>0.0622567282414369</v>
      </c>
      <c r="G35" s="13" t="n">
        <f aca="false">IF(ISNUMBER(D35),1+COUNTIF(Agriculture!M12:M15,"&gt;"&amp;D35),"n/a")</f>
        <v>2</v>
      </c>
      <c r="H35" s="13" t="n">
        <f aca="false">IF(ISNUMBER(D35),1+COUNT(Agriculture!M12:M15),"n/a")</f>
        <v>5</v>
      </c>
      <c r="I35" s="14" t="str">
        <f aca="false">IF(ISNUMBER(G35),IF((H35-G35)/(H35-1)&gt;=0.67,"Top third",IF((H35-G35)/(H35-1)&lt;=0.33,"Bottom third","Mid-pack")),IF(D35="n.m.","Bottom third (n.m.)","n/a"))</f>
        <v>Top third</v>
      </c>
    </row>
    <row r="36" customFormat="false" ht="15" hidden="false" customHeight="false" outlineLevel="0" collapsed="false">
      <c r="A36" s="8"/>
      <c r="B36" s="8"/>
      <c r="C36" s="10" t="s">
        <v>43</v>
      </c>
      <c r="D36" s="11" t="n">
        <f aca="false">Agriculture!L10</f>
        <v>0.170850769458118</v>
      </c>
      <c r="E36" s="11" t="n">
        <f aca="false">IFERROR(MEDIAN(Agriculture!L12:L15),"n/a")</f>
        <v>0.0869192130763803</v>
      </c>
      <c r="F36" s="12" t="n">
        <f aca="false">IFERROR(D36-E36,"n/a")</f>
        <v>0.0839315563817381</v>
      </c>
      <c r="G36" s="13" t="n">
        <f aca="false">IF(ISNUMBER(D36),1+COUNTIF(Agriculture!L12:L15,"&gt;"&amp;D36),"n/a")</f>
        <v>1</v>
      </c>
      <c r="H36" s="13" t="n">
        <f aca="false">IF(ISNUMBER(D36),1+COUNT(Agriculture!L12:L15),"n/a")</f>
        <v>5</v>
      </c>
      <c r="I36" s="14" t="str">
        <f aca="false">IF(ISNUMBER(G36),IF((H36-G36)/(H36-1)&gt;=0.67,"Top third",IF((H36-G36)/(H36-1)&lt;=0.33,"Bottom third","Mid-pack")),IF(D36="n.m.","Bottom third (n.m.)","n/a"))</f>
        <v>Top third</v>
      </c>
    </row>
    <row r="37" customFormat="false" ht="15" hidden="false" customHeight="false" outlineLevel="0" collapsed="false">
      <c r="A37" s="8"/>
      <c r="B37" s="8"/>
      <c r="C37" s="10" t="s">
        <v>44</v>
      </c>
      <c r="D37" s="15" t="n">
        <f aca="false">Agriculture!R10</f>
        <v>-0.137384273695608</v>
      </c>
      <c r="E37" s="15" t="n">
        <f aca="false">IFERROR(MEDIAN(Agriculture!R12:R15),"n/a")</f>
        <v>1.33218266726508</v>
      </c>
      <c r="F37" s="15" t="n">
        <f aca="false">IFERROR(D37-E37,"n/a")</f>
        <v>-1.46956694096069</v>
      </c>
      <c r="G37" s="13" t="n">
        <f aca="false">IF(ISNUMBER(D37),1+COUNTIF(Agriculture!R12:R15,"&lt;"&amp;D37),"n/a")</f>
        <v>2</v>
      </c>
      <c r="H37" s="13" t="n">
        <f aca="false">IF(ISNUMBER(D37),1+COUNT(Agriculture!R12:R15),"n/a")</f>
        <v>4</v>
      </c>
      <c r="I37" s="14" t="str">
        <f aca="false">IF(ISNUMBER(G37),IF((H37-G37)/(H37-1)&gt;=0.67,"Top third",IF((H37-G37)/(H37-1)&lt;=0.33,"Bottom third","Mid-pack")),IF(D37="n.m.","Bottom third (n.m.)","n/a"))</f>
        <v>Mid-pack</v>
      </c>
    </row>
    <row r="38" customFormat="false" ht="15" hidden="false" customHeight="false" outlineLevel="0" collapsed="false">
      <c r="A38" s="8"/>
      <c r="B38" s="8"/>
      <c r="C38" s="10" t="s">
        <v>45</v>
      </c>
      <c r="D38" s="16" t="n">
        <f aca="false">Agriculture!S10</f>
        <v>35.2823833570928</v>
      </c>
      <c r="E38" s="16" t="n">
        <f aca="false">IFERROR(MEDIAN(Agriculture!S12:S15),"n/a")</f>
        <v>9.9984965167559</v>
      </c>
      <c r="F38" s="16" t="n">
        <f aca="false">IFERROR(D38-E38,"n/a")</f>
        <v>25.2838868403369</v>
      </c>
      <c r="G38" s="13" t="n">
        <f aca="false">IF(ISNUMBER(D38),1+COUNTIF(Agriculture!S12:S15,"&gt;"&amp;D38),"n/a")</f>
        <v>1</v>
      </c>
      <c r="H38" s="13" t="n">
        <f aca="false">IF(ISNUMBER(D38),1+COUNT(Agriculture!S12:S15),"n/a")</f>
        <v>5</v>
      </c>
      <c r="I38" s="14" t="str">
        <f aca="false">IF(ISNUMBER(G38),IF((H38-G38)/(H38-1)&gt;=0.67,"Top third",IF((H38-G38)/(H38-1)&lt;=0.33,"Bottom third","Mid-pack")),IF(D38="n.m.","Bottom third (n.m.)","n/a"))</f>
        <v>Top third</v>
      </c>
    </row>
    <row r="39" customFormat="false" ht="15" hidden="false" customHeight="false" outlineLevel="0" collapsed="false">
      <c r="A39" s="8"/>
      <c r="B39" s="8"/>
      <c r="C39" s="10" t="s">
        <v>46</v>
      </c>
      <c r="D39" s="11" t="n">
        <f aca="false">Agriculture!V10</f>
        <v>0.723802934356076</v>
      </c>
      <c r="E39" s="11" t="n">
        <f aca="false">IFERROR(MEDIAN(Agriculture!V12:V15),"n/a")</f>
        <v>0.721135049488652</v>
      </c>
      <c r="F39" s="12" t="n">
        <f aca="false">IFERROR(D39-E39,"n/a")</f>
        <v>0.00266788486742453</v>
      </c>
      <c r="G39" s="13" t="n">
        <f aca="false">IF(ISNUMBER(D39),1+COUNTIF(Agriculture!V12:V15,"&gt;"&amp;D39),"n/a")</f>
        <v>2</v>
      </c>
      <c r="H39" s="13" t="n">
        <f aca="false">IF(ISNUMBER(D39),1+COUNT(Agriculture!V12:V15),"n/a")</f>
        <v>4</v>
      </c>
      <c r="I39" s="14" t="str">
        <f aca="false">IF(ISNUMBER(G39),IF((H39-G39)/(H39-1)&gt;=0.67,"Top third",IF((H39-G39)/(H39-1)&lt;=0.33,"Bottom third","Mid-pack")),IF(D39="n.m.","Bottom third (n.m.)","n/a"))</f>
        <v>Mid-pack</v>
      </c>
    </row>
    <row r="40" customFormat="false" ht="15" hidden="false" customHeight="false" outlineLevel="0" collapsed="false">
      <c r="A40" s="8"/>
      <c r="B40" s="8"/>
      <c r="C40" s="10" t="s">
        <v>47</v>
      </c>
      <c r="D40" s="11" t="n">
        <f aca="false">Agriculture!X10</f>
        <v>0.105758697159024</v>
      </c>
      <c r="E40" s="11" t="n">
        <f aca="false">IFERROR(MEDIAN(Agriculture!X12:X15),"n/a")</f>
        <v>-0.00293184660387145</v>
      </c>
      <c r="F40" s="12" t="n">
        <f aca="false">IFERROR(D40-E40,"n/a")</f>
        <v>0.108690543762896</v>
      </c>
      <c r="G40" s="13" t="n">
        <f aca="false">IF(ISNUMBER(D40),1+COUNTIF(Agriculture!X12:X15,"&gt;"&amp;D40),"n/a")</f>
        <v>2</v>
      </c>
      <c r="H40" s="13" t="n">
        <f aca="false">IF(ISNUMBER(D40),1+COUNT(Agriculture!X12:X15),"n/a")</f>
        <v>5</v>
      </c>
      <c r="I40" s="14" t="str">
        <f aca="false">IF(ISNUMBER(G40),IF((H40-G40)/(H40-1)&gt;=0.67,"Top third",IF((H40-G40)/(H40-1)&lt;=0.33,"Bottom third","Mid-pack")),IF(D40="n.m.","Bottom third (n.m.)","n/a"))</f>
        <v>Top third</v>
      </c>
    </row>
    <row r="41" customFormat="false" ht="15" hidden="false" customHeight="true" outlineLevel="0" collapsed="false">
      <c r="A41" s="8" t="s">
        <v>52</v>
      </c>
      <c r="B41" s="9" t="s">
        <v>53</v>
      </c>
      <c r="C41" s="10" t="s">
        <v>39</v>
      </c>
      <c r="D41" s="11" t="n">
        <f aca="false">Agriculture!F11</f>
        <v>0.0939696552819032</v>
      </c>
      <c r="E41" s="11" t="n">
        <f aca="false">IFERROR(MEDIAN(Agriculture!F16:F19),"n/a")</f>
        <v>0.0297056380583676</v>
      </c>
      <c r="F41" s="12" t="n">
        <f aca="false">IFERROR(D41-E41,"n/a")</f>
        <v>0.0642640172235356</v>
      </c>
      <c r="G41" s="13" t="n">
        <f aca="false">IF(ISNUMBER(D41),1+COUNTIF(Agriculture!F16:F19,"&gt;"&amp;D41),"n/a")</f>
        <v>1</v>
      </c>
      <c r="H41" s="13" t="n">
        <f aca="false">IF(ISNUMBER(D41),1+COUNT(Agriculture!F16:F19),"n/a")</f>
        <v>5</v>
      </c>
      <c r="I41" s="14" t="str">
        <f aca="false">IF(ISNUMBER(G41),IF((H41-G41)/(H41-1)&gt;=0.67,"Top third",IF((H41-G41)/(H41-1)&lt;=0.33,"Bottom third","Mid-pack")),IF(D41="n.m.","Bottom third (n.m.)","n/a"))</f>
        <v>Top third</v>
      </c>
    </row>
    <row r="42" customFormat="false" ht="15" hidden="false" customHeight="false" outlineLevel="0" collapsed="false">
      <c r="A42" s="8"/>
      <c r="B42" s="8"/>
      <c r="C42" s="10" t="s">
        <v>40</v>
      </c>
      <c r="D42" s="11" t="n">
        <f aca="false">Agriculture!I11</f>
        <v>0.0853350831713995</v>
      </c>
      <c r="E42" s="11" t="n">
        <f aca="false">IFERROR(MEDIAN(Agriculture!I16:I19),"n/a")</f>
        <v>0.218077203473162</v>
      </c>
      <c r="F42" s="12" t="n">
        <f aca="false">IFERROR(D42-E42,"n/a")</f>
        <v>-0.132742120301762</v>
      </c>
      <c r="G42" s="13" t="n">
        <f aca="false">IF(ISNUMBER(D42),1+COUNTIF(Agriculture!I16:I19,"&gt;"&amp;D42),"n/a")</f>
        <v>5</v>
      </c>
      <c r="H42" s="13" t="n">
        <f aca="false">IF(ISNUMBER(D42),1+COUNT(Agriculture!I16:I19),"n/a")</f>
        <v>5</v>
      </c>
      <c r="I42" s="14" t="str">
        <f aca="false">IF(ISNUMBER(G42),IF((H42-G42)/(H42-1)&gt;=0.67,"Top third",IF((H42-G42)/(H42-1)&lt;=0.33,"Bottom third","Mid-pack")),IF(D42="n.m.","Bottom third (n.m.)","n/a"))</f>
        <v>Bottom third</v>
      </c>
    </row>
    <row r="43" customFormat="false" ht="15" hidden="false" customHeight="false" outlineLevel="0" collapsed="false">
      <c r="A43" s="8"/>
      <c r="B43" s="8"/>
      <c r="C43" s="10" t="s">
        <v>41</v>
      </c>
      <c r="D43" s="11" t="n">
        <f aca="false">Agriculture!K11</f>
        <v>0.054734911784132</v>
      </c>
      <c r="E43" s="11" t="n">
        <f aca="false">IFERROR(MEDIAN(Agriculture!K16:K19),"n/a")</f>
        <v>0.0994960163750154</v>
      </c>
      <c r="F43" s="12" t="n">
        <f aca="false">IFERROR(D43-E43,"n/a")</f>
        <v>-0.0447611045908834</v>
      </c>
      <c r="G43" s="13" t="n">
        <f aca="false">IF(ISNUMBER(D43),1+COUNTIF(Agriculture!K16:K19,"&gt;"&amp;D43),"n/a")</f>
        <v>4</v>
      </c>
      <c r="H43" s="13" t="n">
        <f aca="false">IF(ISNUMBER(D43),1+COUNT(Agriculture!K16:K19),"n/a")</f>
        <v>5</v>
      </c>
      <c r="I43" s="14" t="str">
        <f aca="false">IF(ISNUMBER(G43),IF((H43-G43)/(H43-1)&gt;=0.67,"Top third",IF((H43-G43)/(H43-1)&lt;=0.33,"Bottom third","Mid-pack")),IF(D43="n.m.","Bottom third (n.m.)","n/a"))</f>
        <v>Bottom third</v>
      </c>
    </row>
    <row r="44" customFormat="false" ht="15" hidden="false" customHeight="false" outlineLevel="0" collapsed="false">
      <c r="A44" s="8"/>
      <c r="B44" s="8"/>
      <c r="C44" s="10" t="s">
        <v>42</v>
      </c>
      <c r="D44" s="11" t="n">
        <f aca="false">Agriculture!M11</f>
        <v>0.11528546145163</v>
      </c>
      <c r="E44" s="11" t="n">
        <f aca="false">IFERROR(MEDIAN(Agriculture!M16:M19),"n/a")</f>
        <v>0.145457279490792</v>
      </c>
      <c r="F44" s="12" t="n">
        <f aca="false">IFERROR(D44-E44,"n/a")</f>
        <v>-0.0301718180391618</v>
      </c>
      <c r="G44" s="13" t="n">
        <f aca="false">IF(ISNUMBER(D44),1+COUNTIF(Agriculture!M16:M19,"&gt;"&amp;D44),"n/a")</f>
        <v>3</v>
      </c>
      <c r="H44" s="13" t="n">
        <f aca="false">IF(ISNUMBER(D44),1+COUNT(Agriculture!M16:M19),"n/a")</f>
        <v>5</v>
      </c>
      <c r="I44" s="14" t="str">
        <f aca="false">IF(ISNUMBER(G44),IF((H44-G44)/(H44-1)&gt;=0.67,"Top third",IF((H44-G44)/(H44-1)&lt;=0.33,"Bottom third","Mid-pack")),IF(D44="n.m.","Bottom third (n.m.)","n/a"))</f>
        <v>Mid-pack</v>
      </c>
    </row>
    <row r="45" customFormat="false" ht="15" hidden="false" customHeight="false" outlineLevel="0" collapsed="false">
      <c r="A45" s="8"/>
      <c r="B45" s="8"/>
      <c r="C45" s="10" t="s">
        <v>43</v>
      </c>
      <c r="D45" s="11" t="n">
        <f aca="false">Agriculture!L11</f>
        <v>0.0882183772558265</v>
      </c>
      <c r="E45" s="11" t="n">
        <f aca="false">IFERROR(MEDIAN(Agriculture!L16:L19),"n/a")</f>
        <v>0.133454246632458</v>
      </c>
      <c r="F45" s="12" t="n">
        <f aca="false">IFERROR(D45-E45,"n/a")</f>
        <v>-0.0452358693766313</v>
      </c>
      <c r="G45" s="13" t="n">
        <f aca="false">IF(ISNUMBER(D45),1+COUNTIF(Agriculture!L16:L19,"&gt;"&amp;D45),"n/a")</f>
        <v>4</v>
      </c>
      <c r="H45" s="13" t="n">
        <f aca="false">IF(ISNUMBER(D45),1+COUNT(Agriculture!L16:L19),"n/a")</f>
        <v>5</v>
      </c>
      <c r="I45" s="14" t="str">
        <f aca="false">IF(ISNUMBER(G45),IF((H45-G45)/(H45-1)&gt;=0.67,"Top third",IF((H45-G45)/(H45-1)&lt;=0.33,"Bottom third","Mid-pack")),IF(D45="n.m.","Bottom third (n.m.)","n/a"))</f>
        <v>Bottom third</v>
      </c>
    </row>
    <row r="46" customFormat="false" ht="15" hidden="false" customHeight="false" outlineLevel="0" collapsed="false">
      <c r="A46" s="8"/>
      <c r="B46" s="8"/>
      <c r="C46" s="10" t="s">
        <v>44</v>
      </c>
      <c r="D46" s="15" t="n">
        <f aca="false">Agriculture!R11</f>
        <v>-0.715819740383516</v>
      </c>
      <c r="E46" s="15" t="n">
        <f aca="false">IFERROR(MEDIAN(Agriculture!R16:R19),"n/a")</f>
        <v>1.24705648586738</v>
      </c>
      <c r="F46" s="15" t="n">
        <f aca="false">IFERROR(D46-E46,"n/a")</f>
        <v>-1.96287622625089</v>
      </c>
      <c r="G46" s="13" t="n">
        <f aca="false">IF(ISNUMBER(D46),1+COUNTIF(Agriculture!R16:R19,"&lt;"&amp;D46),"n/a")</f>
        <v>2</v>
      </c>
      <c r="H46" s="13" t="n">
        <f aca="false">IF(ISNUMBER(D46),1+COUNT(Agriculture!R16:R19),"n/a")</f>
        <v>5</v>
      </c>
      <c r="I46" s="14" t="str">
        <f aca="false">IF(ISNUMBER(G46),IF((H46-G46)/(H46-1)&gt;=0.67,"Top third",IF((H46-G46)/(H46-1)&lt;=0.33,"Bottom third","Mid-pack")),IF(D46="n.m.","Bottom third (n.m.)","n/a"))</f>
        <v>Top third</v>
      </c>
    </row>
    <row r="47" customFormat="false" ht="15" hidden="false" customHeight="false" outlineLevel="0" collapsed="false">
      <c r="A47" s="8"/>
      <c r="B47" s="8"/>
      <c r="C47" s="10" t="s">
        <v>45</v>
      </c>
      <c r="D47" s="16" t="n">
        <f aca="false">Agriculture!S11</f>
        <v>33.2281569549498</v>
      </c>
      <c r="E47" s="16" t="n">
        <f aca="false">IFERROR(MEDIAN(Agriculture!S16:S19),"n/a")</f>
        <v>11.9998888717132</v>
      </c>
      <c r="F47" s="16" t="n">
        <f aca="false">IFERROR(D47-E47,"n/a")</f>
        <v>21.2282680832366</v>
      </c>
      <c r="G47" s="13" t="n">
        <f aca="false">IF(ISNUMBER(D47),1+COUNTIF(Agriculture!S16:S19,"&gt;"&amp;D47),"n/a")</f>
        <v>2</v>
      </c>
      <c r="H47" s="13" t="n">
        <f aca="false">IF(ISNUMBER(D47),1+COUNT(Agriculture!S16:S19),"n/a")</f>
        <v>5</v>
      </c>
      <c r="I47" s="14" t="str">
        <f aca="false">IF(ISNUMBER(G47),IF((H47-G47)/(H47-1)&gt;=0.67,"Top third",IF((H47-G47)/(H47-1)&lt;=0.33,"Bottom third","Mid-pack")),IF(D47="n.m.","Bottom third (n.m.)","n/a"))</f>
        <v>Top third</v>
      </c>
    </row>
    <row r="48" customFormat="false" ht="15" hidden="false" customHeight="false" outlineLevel="0" collapsed="false">
      <c r="A48" s="8"/>
      <c r="B48" s="8"/>
      <c r="C48" s="10" t="s">
        <v>46</v>
      </c>
      <c r="D48" s="11" t="n">
        <f aca="false">Agriculture!V11</f>
        <v>1.00434524388223</v>
      </c>
      <c r="E48" s="11" t="n">
        <f aca="false">IFERROR(MEDIAN(Agriculture!V16:V19),"n/a")</f>
        <v>0.777040172128997</v>
      </c>
      <c r="F48" s="12" t="n">
        <f aca="false">IFERROR(D48-E48,"n/a")</f>
        <v>0.227305071753231</v>
      </c>
      <c r="G48" s="13" t="n">
        <f aca="false">IF(ISNUMBER(D48),1+COUNTIF(Agriculture!V16:V19,"&gt;"&amp;D48),"n/a")</f>
        <v>2</v>
      </c>
      <c r="H48" s="13" t="n">
        <f aca="false">IF(ISNUMBER(D48),1+COUNT(Agriculture!V16:V19),"n/a")</f>
        <v>5</v>
      </c>
      <c r="I48" s="14" t="str">
        <f aca="false">IF(ISNUMBER(G48),IF((H48-G48)/(H48-1)&gt;=0.67,"Top third",IF((H48-G48)/(H48-1)&lt;=0.33,"Bottom third","Mid-pack")),IF(D48="n.m.","Bottom third (n.m.)","n/a"))</f>
        <v>Top third</v>
      </c>
    </row>
    <row r="49" customFormat="false" ht="15" hidden="false" customHeight="false" outlineLevel="0" collapsed="false">
      <c r="A49" s="8"/>
      <c r="B49" s="8"/>
      <c r="C49" s="10" t="s">
        <v>47</v>
      </c>
      <c r="D49" s="11" t="n">
        <f aca="false">Agriculture!X11</f>
        <v>0.070954414726667</v>
      </c>
      <c r="E49" s="11" t="n">
        <f aca="false">IFERROR(MEDIAN(Agriculture!X16:X19),"n/a")</f>
        <v>0.107494081551911</v>
      </c>
      <c r="F49" s="12" t="n">
        <f aca="false">IFERROR(D49-E49,"n/a")</f>
        <v>-0.0365396668252439</v>
      </c>
      <c r="G49" s="13" t="n">
        <f aca="false">IF(ISNUMBER(D49),1+COUNTIF(Agriculture!X16:X19,"&gt;"&amp;D49),"n/a")</f>
        <v>4</v>
      </c>
      <c r="H49" s="13" t="n">
        <f aca="false">IF(ISNUMBER(D49),1+COUNT(Agriculture!X16:X19),"n/a")</f>
        <v>5</v>
      </c>
      <c r="I49" s="14" t="str">
        <f aca="false">IF(ISNUMBER(G49),IF((H49-G49)/(H49-1)&gt;=0.67,"Top third",IF((H49-G49)/(H49-1)&lt;=0.33,"Bottom third","Mid-pack")),IF(D49="n.m.","Bottom third (n.m.)","n/a"))</f>
        <v>Bottom third</v>
      </c>
    </row>
    <row r="50" customFormat="false" ht="15" hidden="false" customHeight="true" outlineLevel="0" collapsed="false">
      <c r="A50" s="8" t="s">
        <v>54</v>
      </c>
      <c r="B50" s="9" t="s">
        <v>38</v>
      </c>
      <c r="C50" s="10" t="s">
        <v>39</v>
      </c>
      <c r="D50" s="11" t="n">
        <f aca="false">Rubber!F8</f>
        <v>0.000418258450356257</v>
      </c>
      <c r="E50" s="11" t="n">
        <f aca="false">IFERROR(MEDIAN(Rubber!F10:F16),"n/a")</f>
        <v>0.00554673553094731</v>
      </c>
      <c r="F50" s="12" t="n">
        <f aca="false">IFERROR(D50-E50,"n/a")</f>
        <v>-0.00512847708059105</v>
      </c>
      <c r="G50" s="13" t="n">
        <f aca="false">IF(ISNUMBER(D50),1+COUNTIF(Rubber!F10:F16,"&gt;"&amp;D50),"n/a")</f>
        <v>5</v>
      </c>
      <c r="H50" s="13" t="n">
        <f aca="false">IF(ISNUMBER(D50),1+COUNT(Rubber!F10:F16),"n/a")</f>
        <v>8</v>
      </c>
      <c r="I50" s="14" t="str">
        <f aca="false">IF(ISNUMBER(G50),IF((H50-G50)/(H50-1)&gt;=0.67,"Top third",IF((H50-G50)/(H50-1)&lt;=0.33,"Bottom third","Mid-pack")),IF(D50="n.m.","Bottom third (n.m.)","n/a"))</f>
        <v>Mid-pack</v>
      </c>
    </row>
    <row r="51" customFormat="false" ht="15" hidden="false" customHeight="false" outlineLevel="0" collapsed="false">
      <c r="A51" s="8"/>
      <c r="B51" s="8"/>
      <c r="C51" s="10" t="s">
        <v>40</v>
      </c>
      <c r="D51" s="11" t="n">
        <f aca="false">Rubber!I8</f>
        <v>0.216170168430277</v>
      </c>
      <c r="E51" s="11" t="n">
        <f aca="false">IFERROR(MEDIAN(Rubber!I10:I16),"n/a")</f>
        <v>0.154973826764388</v>
      </c>
      <c r="F51" s="12" t="n">
        <f aca="false">IFERROR(D51-E51,"n/a")</f>
        <v>0.0611963416658885</v>
      </c>
      <c r="G51" s="13" t="n">
        <f aca="false">IF(ISNUMBER(D51),1+COUNTIF(Rubber!I10:I16,"&gt;"&amp;D51),"n/a")</f>
        <v>1</v>
      </c>
      <c r="H51" s="13" t="n">
        <f aca="false">IF(ISNUMBER(D51),1+COUNT(Rubber!I10:I16),"n/a")</f>
        <v>8</v>
      </c>
      <c r="I51" s="14" t="str">
        <f aca="false">IF(ISNUMBER(G51),IF((H51-G51)/(H51-1)&gt;=0.67,"Top third",IF((H51-G51)/(H51-1)&lt;=0.33,"Bottom third","Mid-pack")),IF(D51="n.m.","Bottom third (n.m.)","n/a"))</f>
        <v>Top third</v>
      </c>
    </row>
    <row r="52" customFormat="false" ht="15" hidden="false" customHeight="false" outlineLevel="0" collapsed="false">
      <c r="A52" s="8"/>
      <c r="B52" s="8"/>
      <c r="C52" s="10" t="s">
        <v>41</v>
      </c>
      <c r="D52" s="11" t="n">
        <f aca="false">Rubber!K8</f>
        <v>0.0783181381423128</v>
      </c>
      <c r="E52" s="11" t="n">
        <f aca="false">IFERROR(MEDIAN(Rubber!K10:K16),"n/a")</f>
        <v>0.0640196983687288</v>
      </c>
      <c r="F52" s="12" t="n">
        <f aca="false">IFERROR(D52-E52,"n/a")</f>
        <v>0.014298439773584</v>
      </c>
      <c r="G52" s="13" t="n">
        <f aca="false">IF(ISNUMBER(D52),1+COUNTIF(Rubber!K10:K16,"&gt;"&amp;D52),"n/a")</f>
        <v>3</v>
      </c>
      <c r="H52" s="13" t="n">
        <f aca="false">IF(ISNUMBER(D52),1+COUNT(Rubber!K10:K16),"n/a")</f>
        <v>8</v>
      </c>
      <c r="I52" s="14" t="str">
        <f aca="false">IF(ISNUMBER(G52),IF((H52-G52)/(H52-1)&gt;=0.67,"Top third",IF((H52-G52)/(H52-1)&lt;=0.33,"Bottom third","Mid-pack")),IF(D52="n.m.","Bottom third (n.m.)","n/a"))</f>
        <v>Top third</v>
      </c>
    </row>
    <row r="53" customFormat="false" ht="15" hidden="false" customHeight="false" outlineLevel="0" collapsed="false">
      <c r="A53" s="8"/>
      <c r="B53" s="8"/>
      <c r="C53" s="10" t="s">
        <v>42</v>
      </c>
      <c r="D53" s="11" t="n">
        <f aca="false">Rubber!M8</f>
        <v>0.0858107181095047</v>
      </c>
      <c r="E53" s="11" t="n">
        <f aca="false">IFERROR(MEDIAN(Rubber!M10:M16),"n/a")</f>
        <v>0.0890706780475692</v>
      </c>
      <c r="F53" s="12" t="n">
        <f aca="false">IFERROR(D53-E53,"n/a")</f>
        <v>-0.00325995993806451</v>
      </c>
      <c r="G53" s="13" t="n">
        <f aca="false">IF(ISNUMBER(D53),1+COUNTIF(Rubber!M10:M16,"&gt;"&amp;D53),"n/a")</f>
        <v>5</v>
      </c>
      <c r="H53" s="13" t="n">
        <f aca="false">IF(ISNUMBER(D53),1+COUNT(Rubber!M10:M16),"n/a")</f>
        <v>8</v>
      </c>
      <c r="I53" s="14" t="str">
        <f aca="false">IF(ISNUMBER(G53),IF((H53-G53)/(H53-1)&gt;=0.67,"Top third",IF((H53-G53)/(H53-1)&lt;=0.33,"Bottom third","Mid-pack")),IF(D53="n.m.","Bottom third (n.m.)","n/a"))</f>
        <v>Mid-pack</v>
      </c>
    </row>
    <row r="54" customFormat="false" ht="15" hidden="false" customHeight="false" outlineLevel="0" collapsed="false">
      <c r="A54" s="8"/>
      <c r="B54" s="8"/>
      <c r="C54" s="10" t="s">
        <v>43</v>
      </c>
      <c r="D54" s="11" t="n">
        <f aca="false">Rubber!L8</f>
        <v>0.10836824486971</v>
      </c>
      <c r="E54" s="11" t="n">
        <f aca="false">IFERROR(MEDIAN(Rubber!L10:L16),"n/a")</f>
        <v>0.119082492745613</v>
      </c>
      <c r="F54" s="12" t="n">
        <f aca="false">IFERROR(D54-E54,"n/a")</f>
        <v>-0.0107142478759025</v>
      </c>
      <c r="G54" s="13" t="n">
        <f aca="false">IF(ISNUMBER(D54),1+COUNTIF(Rubber!L10:L16,"&gt;"&amp;D54),"n/a")</f>
        <v>5</v>
      </c>
      <c r="H54" s="13" t="n">
        <f aca="false">IF(ISNUMBER(D54),1+COUNT(Rubber!L10:L16),"n/a")</f>
        <v>8</v>
      </c>
      <c r="I54" s="14" t="str">
        <f aca="false">IF(ISNUMBER(G54),IF((H54-G54)/(H54-1)&gt;=0.67,"Top third",IF((H54-G54)/(H54-1)&lt;=0.33,"Bottom third","Mid-pack")),IF(D54="n.m.","Bottom third (n.m.)","n/a"))</f>
        <v>Mid-pack</v>
      </c>
    </row>
    <row r="55" customFormat="false" ht="15" hidden="false" customHeight="false" outlineLevel="0" collapsed="false">
      <c r="A55" s="8"/>
      <c r="B55" s="8"/>
      <c r="C55" s="10" t="s">
        <v>44</v>
      </c>
      <c r="D55" s="15" t="n">
        <f aca="false">Rubber!R8</f>
        <v>0.97754305527774</v>
      </c>
      <c r="E55" s="15" t="n">
        <f aca="false">IFERROR(MEDIAN(Rubber!R10:R16),"n/a")</f>
        <v>1.12172500976937</v>
      </c>
      <c r="F55" s="15" t="n">
        <f aca="false">IFERROR(D55-E55,"n/a")</f>
        <v>-0.144181954491631</v>
      </c>
      <c r="G55" s="13" t="n">
        <f aca="false">IF(ISNUMBER(D55),1+COUNTIF(Rubber!R10:R16,"&lt;"&amp;D55),"n/a")</f>
        <v>3</v>
      </c>
      <c r="H55" s="13" t="n">
        <f aca="false">IF(ISNUMBER(D55),1+COUNT(Rubber!R10:R16),"n/a")</f>
        <v>8</v>
      </c>
      <c r="I55" s="14" t="str">
        <f aca="false">IF(ISNUMBER(G55),IF((H55-G55)/(H55-1)&gt;=0.67,"Top third",IF((H55-G55)/(H55-1)&lt;=0.33,"Bottom third","Mid-pack")),IF(D55="n.m.","Bottom third (n.m.)","n/a"))</f>
        <v>Top third</v>
      </c>
    </row>
    <row r="56" customFormat="false" ht="15" hidden="false" customHeight="false" outlineLevel="0" collapsed="false">
      <c r="A56" s="8"/>
      <c r="B56" s="8"/>
      <c r="C56" s="10" t="s">
        <v>45</v>
      </c>
      <c r="D56" s="16" t="n">
        <f aca="false">Rubber!S8</f>
        <v>3.06671598905731</v>
      </c>
      <c r="E56" s="16" t="n">
        <f aca="false">IFERROR(MEDIAN(Rubber!S10:S16),"n/a")</f>
        <v>8.66073740884618</v>
      </c>
      <c r="F56" s="16" t="n">
        <f aca="false">IFERROR(D56-E56,"n/a")</f>
        <v>-5.59402141978887</v>
      </c>
      <c r="G56" s="13" t="n">
        <f aca="false">IF(ISNUMBER(D56),1+COUNTIF(Rubber!S10:S16,"&gt;"&amp;D56),"n/a")</f>
        <v>6</v>
      </c>
      <c r="H56" s="13" t="n">
        <f aca="false">IF(ISNUMBER(D56),1+COUNT(Rubber!S10:S16),"n/a")</f>
        <v>8</v>
      </c>
      <c r="I56" s="14" t="str">
        <f aca="false">IF(ISNUMBER(G56),IF((H56-G56)/(H56-1)&gt;=0.67,"Top third",IF((H56-G56)/(H56-1)&lt;=0.33,"Bottom third","Mid-pack")),IF(D56="n.m.","Bottom third (n.m.)","n/a"))</f>
        <v>Bottom third</v>
      </c>
    </row>
    <row r="57" customFormat="false" ht="15" hidden="false" customHeight="false" outlineLevel="0" collapsed="false">
      <c r="A57" s="8"/>
      <c r="B57" s="8"/>
      <c r="C57" s="10" t="s">
        <v>46</v>
      </c>
      <c r="D57" s="11" t="n">
        <f aca="false">Rubber!V8</f>
        <v>0.89145434573796</v>
      </c>
      <c r="E57" s="11" t="n">
        <f aca="false">IFERROR(MEDIAN(Rubber!V10:V16),"n/a")</f>
        <v>0.88628452077048</v>
      </c>
      <c r="F57" s="12" t="n">
        <f aca="false">IFERROR(D57-E57,"n/a")</f>
        <v>0.00516982496747909</v>
      </c>
      <c r="G57" s="13" t="n">
        <f aca="false">IF(ISNUMBER(D57),1+COUNTIF(Rubber!V10:V16,"&gt;"&amp;D57),"n/a")</f>
        <v>4</v>
      </c>
      <c r="H57" s="13" t="n">
        <f aca="false">IF(ISNUMBER(D57),1+COUNT(Rubber!V10:V16),"n/a")</f>
        <v>8</v>
      </c>
      <c r="I57" s="14" t="str">
        <f aca="false">IF(ISNUMBER(G57),IF((H57-G57)/(H57-1)&gt;=0.67,"Top third",IF((H57-G57)/(H57-1)&lt;=0.33,"Bottom third","Mid-pack")),IF(D57="n.m.","Bottom third (n.m.)","n/a"))</f>
        <v>Mid-pack</v>
      </c>
    </row>
    <row r="58" customFormat="false" ht="15" hidden="false" customHeight="false" outlineLevel="0" collapsed="false">
      <c r="A58" s="8"/>
      <c r="B58" s="8"/>
      <c r="C58" s="10" t="s">
        <v>47</v>
      </c>
      <c r="D58" s="11" t="n">
        <f aca="false">Rubber!X8</f>
        <v>0.136941779831843</v>
      </c>
      <c r="E58" s="11" t="n">
        <f aca="false">IFERROR(MEDIAN(Rubber!X10:X16),"n/a")</f>
        <v>0.00907952136334813</v>
      </c>
      <c r="F58" s="12" t="n">
        <f aca="false">IFERROR(D58-E58,"n/a")</f>
        <v>0.127862258468495</v>
      </c>
      <c r="G58" s="13" t="n">
        <f aca="false">IF(ISNUMBER(D58),1+COUNTIF(Rubber!X10:X16,"&gt;"&amp;D58),"n/a")</f>
        <v>1</v>
      </c>
      <c r="H58" s="13" t="n">
        <f aca="false">IF(ISNUMBER(D58),1+COUNT(Rubber!X10:X16),"n/a")</f>
        <v>8</v>
      </c>
      <c r="I58" s="14" t="str">
        <f aca="false">IF(ISNUMBER(G58),IF((H58-G58)/(H58-1)&gt;=0.67,"Top third",IF((H58-G58)/(H58-1)&lt;=0.33,"Bottom third","Mid-pack")),IF(D58="n.m.","Bottom third (n.m.)","n/a"))</f>
        <v>Top third</v>
      </c>
    </row>
    <row r="59" customFormat="false" ht="15" hidden="false" customHeight="true" outlineLevel="0" collapsed="false">
      <c r="A59" s="8" t="s">
        <v>55</v>
      </c>
      <c r="B59" s="9" t="s">
        <v>38</v>
      </c>
      <c r="C59" s="10" t="s">
        <v>39</v>
      </c>
      <c r="D59" s="11" t="n">
        <f aca="false">Rubber!F9</f>
        <v>0.105145531927581</v>
      </c>
      <c r="E59" s="11" t="n">
        <f aca="false">IFERROR(MEDIAN(Rubber!F10:F16),"n/a")</f>
        <v>0.00554673553094731</v>
      </c>
      <c r="F59" s="12" t="n">
        <f aca="false">IFERROR(D59-E59,"n/a")</f>
        <v>0.0995987963966334</v>
      </c>
      <c r="G59" s="13" t="n">
        <f aca="false">IF(ISNUMBER(D59),1+COUNTIF(Rubber!F10:F16,"&gt;"&amp;D59),"n/a")</f>
        <v>4</v>
      </c>
      <c r="H59" s="13" t="n">
        <f aca="false">IF(ISNUMBER(D59),1+COUNT(Rubber!F10:F16),"n/a")</f>
        <v>8</v>
      </c>
      <c r="I59" s="14" t="str">
        <f aca="false">IF(ISNUMBER(G59),IF((H59-G59)/(H59-1)&gt;=0.67,"Top third",IF((H59-G59)/(H59-1)&lt;=0.33,"Bottom third","Mid-pack")),IF(D59="n.m.","Bottom third (n.m.)","n/a"))</f>
        <v>Mid-pack</v>
      </c>
    </row>
    <row r="60" customFormat="false" ht="15" hidden="false" customHeight="false" outlineLevel="0" collapsed="false">
      <c r="A60" s="8"/>
      <c r="B60" s="8"/>
      <c r="C60" s="10" t="s">
        <v>40</v>
      </c>
      <c r="D60" s="11" t="n">
        <f aca="false">Rubber!I9</f>
        <v>0.080669785129309</v>
      </c>
      <c r="E60" s="11" t="n">
        <f aca="false">IFERROR(MEDIAN(Rubber!I10:I16),"n/a")</f>
        <v>0.154973826764388</v>
      </c>
      <c r="F60" s="12" t="n">
        <f aca="false">IFERROR(D60-E60,"n/a")</f>
        <v>-0.0743040416350794</v>
      </c>
      <c r="G60" s="13" t="n">
        <f aca="false">IF(ISNUMBER(D60),1+COUNTIF(Rubber!I10:I16,"&gt;"&amp;D60),"n/a")</f>
        <v>6</v>
      </c>
      <c r="H60" s="13" t="n">
        <f aca="false">IF(ISNUMBER(D60),1+COUNT(Rubber!I10:I16),"n/a")</f>
        <v>8</v>
      </c>
      <c r="I60" s="14" t="str">
        <f aca="false">IF(ISNUMBER(G60),IF((H60-G60)/(H60-1)&gt;=0.67,"Top third",IF((H60-G60)/(H60-1)&lt;=0.33,"Bottom third","Mid-pack")),IF(D60="n.m.","Bottom third (n.m.)","n/a"))</f>
        <v>Bottom third</v>
      </c>
    </row>
    <row r="61" customFormat="false" ht="15" hidden="false" customHeight="false" outlineLevel="0" collapsed="false">
      <c r="A61" s="8"/>
      <c r="B61" s="8"/>
      <c r="C61" s="10" t="s">
        <v>41</v>
      </c>
      <c r="D61" s="11" t="n">
        <f aca="false">Rubber!K9</f>
        <v>0.0317810173411091</v>
      </c>
      <c r="E61" s="11" t="n">
        <f aca="false">IFERROR(MEDIAN(Rubber!K10:K16),"n/a")</f>
        <v>0.0640196983687288</v>
      </c>
      <c r="F61" s="12" t="n">
        <f aca="false">IFERROR(D61-E61,"n/a")</f>
        <v>-0.0322386810276198</v>
      </c>
      <c r="G61" s="13" t="n">
        <f aca="false">IF(ISNUMBER(D61),1+COUNTIF(Rubber!K10:K16,"&gt;"&amp;D61),"n/a")</f>
        <v>6</v>
      </c>
      <c r="H61" s="13" t="n">
        <f aca="false">IF(ISNUMBER(D61),1+COUNT(Rubber!K10:K16),"n/a")</f>
        <v>8</v>
      </c>
      <c r="I61" s="14" t="str">
        <f aca="false">IF(ISNUMBER(G61),IF((H61-G61)/(H61-1)&gt;=0.67,"Top third",IF((H61-G61)/(H61-1)&lt;=0.33,"Bottom third","Mid-pack")),IF(D61="n.m.","Bottom third (n.m.)","n/a"))</f>
        <v>Bottom third</v>
      </c>
    </row>
    <row r="62" customFormat="false" ht="15" hidden="false" customHeight="false" outlineLevel="0" collapsed="false">
      <c r="A62" s="8"/>
      <c r="B62" s="8"/>
      <c r="C62" s="10" t="s">
        <v>42</v>
      </c>
      <c r="D62" s="11" t="n">
        <f aca="false">Rubber!M9</f>
        <v>0.0692639369096339</v>
      </c>
      <c r="E62" s="11" t="n">
        <f aca="false">IFERROR(MEDIAN(Rubber!M10:M16),"n/a")</f>
        <v>0.0890706780475692</v>
      </c>
      <c r="F62" s="12" t="n">
        <f aca="false">IFERROR(D62-E62,"n/a")</f>
        <v>-0.0198067411379352</v>
      </c>
      <c r="G62" s="13" t="n">
        <f aca="false">IF(ISNUMBER(D62),1+COUNTIF(Rubber!M10:M16,"&gt;"&amp;D62),"n/a")</f>
        <v>5</v>
      </c>
      <c r="H62" s="13" t="n">
        <f aca="false">IF(ISNUMBER(D62),1+COUNT(Rubber!M10:M16),"n/a")</f>
        <v>8</v>
      </c>
      <c r="I62" s="14" t="str">
        <f aca="false">IF(ISNUMBER(G62),IF((H62-G62)/(H62-1)&gt;=0.67,"Top third",IF((H62-G62)/(H62-1)&lt;=0.33,"Bottom third","Mid-pack")),IF(D62="n.m.","Bottom third (n.m.)","n/a"))</f>
        <v>Mid-pack</v>
      </c>
    </row>
    <row r="63" customFormat="false" ht="15" hidden="false" customHeight="false" outlineLevel="0" collapsed="false">
      <c r="A63" s="8"/>
      <c r="B63" s="8"/>
      <c r="C63" s="10" t="s">
        <v>43</v>
      </c>
      <c r="D63" s="11" t="n">
        <f aca="false">Rubber!L9</f>
        <v>0.0782060332823266</v>
      </c>
      <c r="E63" s="11" t="n">
        <f aca="false">IFERROR(MEDIAN(Rubber!L10:L16),"n/a")</f>
        <v>0.119082492745613</v>
      </c>
      <c r="F63" s="12" t="n">
        <f aca="false">IFERROR(D63-E63,"n/a")</f>
        <v>-0.0408764594632862</v>
      </c>
      <c r="G63" s="13" t="n">
        <f aca="false">IF(ISNUMBER(D63),1+COUNTIF(Rubber!L10:L16,"&gt;"&amp;D63),"n/a")</f>
        <v>5</v>
      </c>
      <c r="H63" s="13" t="n">
        <f aca="false">IF(ISNUMBER(D63),1+COUNT(Rubber!L10:L16),"n/a")</f>
        <v>8</v>
      </c>
      <c r="I63" s="14" t="str">
        <f aca="false">IF(ISNUMBER(G63),IF((H63-G63)/(H63-1)&gt;=0.67,"Top third",IF((H63-G63)/(H63-1)&lt;=0.33,"Bottom third","Mid-pack")),IF(D63="n.m.","Bottom third (n.m.)","n/a"))</f>
        <v>Mid-pack</v>
      </c>
    </row>
    <row r="64" customFormat="false" ht="15" hidden="false" customHeight="false" outlineLevel="0" collapsed="false">
      <c r="A64" s="8"/>
      <c r="B64" s="8"/>
      <c r="C64" s="10" t="s">
        <v>44</v>
      </c>
      <c r="D64" s="15" t="n">
        <f aca="false">Rubber!R9</f>
        <v>0.402052357351633</v>
      </c>
      <c r="E64" s="15" t="n">
        <f aca="false">IFERROR(MEDIAN(Rubber!R10:R16),"n/a")</f>
        <v>1.12172500976937</v>
      </c>
      <c r="F64" s="15" t="n">
        <f aca="false">IFERROR(D64-E64,"n/a")</f>
        <v>-0.719672652417738</v>
      </c>
      <c r="G64" s="13" t="n">
        <f aca="false">IF(ISNUMBER(D64),1+COUNTIF(Rubber!R10:R16,"&lt;"&amp;D64),"n/a")</f>
        <v>2</v>
      </c>
      <c r="H64" s="13" t="n">
        <f aca="false">IF(ISNUMBER(D64),1+COUNT(Rubber!R10:R16),"n/a")</f>
        <v>8</v>
      </c>
      <c r="I64" s="14" t="str">
        <f aca="false">IF(ISNUMBER(G64),IF((H64-G64)/(H64-1)&gt;=0.67,"Top third",IF((H64-G64)/(H64-1)&lt;=0.33,"Bottom third","Mid-pack")),IF(D64="n.m.","Bottom third (n.m.)","n/a"))</f>
        <v>Top third</v>
      </c>
    </row>
    <row r="65" customFormat="false" ht="15" hidden="false" customHeight="false" outlineLevel="0" collapsed="false">
      <c r="A65" s="8"/>
      <c r="B65" s="8"/>
      <c r="C65" s="10" t="s">
        <v>45</v>
      </c>
      <c r="D65" s="16" t="n">
        <f aca="false">Rubber!S9</f>
        <v>9.8337234150809</v>
      </c>
      <c r="E65" s="16" t="n">
        <f aca="false">IFERROR(MEDIAN(Rubber!S10:S16),"n/a")</f>
        <v>8.66073740884618</v>
      </c>
      <c r="F65" s="16" t="n">
        <f aca="false">IFERROR(D65-E65,"n/a")</f>
        <v>1.17298600623472</v>
      </c>
      <c r="G65" s="13" t="n">
        <f aca="false">IF(ISNUMBER(D65),1+COUNTIF(Rubber!S10:S16,"&gt;"&amp;D65),"n/a")</f>
        <v>2</v>
      </c>
      <c r="H65" s="13" t="n">
        <f aca="false">IF(ISNUMBER(D65),1+COUNT(Rubber!S10:S16),"n/a")</f>
        <v>8</v>
      </c>
      <c r="I65" s="14" t="str">
        <f aca="false">IF(ISNUMBER(G65),IF((H65-G65)/(H65-1)&gt;=0.67,"Top third",IF((H65-G65)/(H65-1)&lt;=0.33,"Bottom third","Mid-pack")),IF(D65="n.m.","Bottom third (n.m.)","n/a"))</f>
        <v>Top third</v>
      </c>
    </row>
    <row r="66" customFormat="false" ht="15" hidden="false" customHeight="false" outlineLevel="0" collapsed="false">
      <c r="A66" s="8"/>
      <c r="B66" s="8"/>
      <c r="C66" s="10" t="s">
        <v>46</v>
      </c>
      <c r="D66" s="11" t="n">
        <f aca="false">Rubber!V9</f>
        <v>0.829203202439954</v>
      </c>
      <c r="E66" s="11" t="n">
        <f aca="false">IFERROR(MEDIAN(Rubber!V10:V16),"n/a")</f>
        <v>0.88628452077048</v>
      </c>
      <c r="F66" s="12" t="n">
        <f aca="false">IFERROR(D66-E66,"n/a")</f>
        <v>-0.0570813183305263</v>
      </c>
      <c r="G66" s="13" t="n">
        <f aca="false">IF(ISNUMBER(D66),1+COUNTIF(Rubber!V10:V16,"&gt;"&amp;D66),"n/a")</f>
        <v>5</v>
      </c>
      <c r="H66" s="13" t="n">
        <f aca="false">IF(ISNUMBER(D66),1+COUNT(Rubber!V10:V16),"n/a")</f>
        <v>8</v>
      </c>
      <c r="I66" s="14" t="str">
        <f aca="false">IF(ISNUMBER(G66),IF((H66-G66)/(H66-1)&gt;=0.67,"Top third",IF((H66-G66)/(H66-1)&lt;=0.33,"Bottom third","Mid-pack")),IF(D66="n.m.","Bottom third (n.m.)","n/a"))</f>
        <v>Mid-pack</v>
      </c>
    </row>
    <row r="67" customFormat="false" ht="15" hidden="false" customHeight="false" outlineLevel="0" collapsed="false">
      <c r="A67" s="8"/>
      <c r="B67" s="8"/>
      <c r="C67" s="10" t="s">
        <v>47</v>
      </c>
      <c r="D67" s="11" t="n">
        <f aca="false">Rubber!X9</f>
        <v>0.0120077178308385</v>
      </c>
      <c r="E67" s="11" t="n">
        <f aca="false">IFERROR(MEDIAN(Rubber!X10:X16),"n/a")</f>
        <v>0.00907952136334813</v>
      </c>
      <c r="F67" s="12" t="n">
        <f aca="false">IFERROR(D67-E67,"n/a")</f>
        <v>0.00292819646749033</v>
      </c>
      <c r="G67" s="13" t="n">
        <f aca="false">IF(ISNUMBER(D67),1+COUNTIF(Rubber!X10:X16,"&gt;"&amp;D67),"n/a")</f>
        <v>4</v>
      </c>
      <c r="H67" s="13" t="n">
        <f aca="false">IF(ISNUMBER(D67),1+COUNT(Rubber!X10:X16),"n/a")</f>
        <v>8</v>
      </c>
      <c r="I67" s="14" t="str">
        <f aca="false">IF(ISNUMBER(G67),IF((H67-G67)/(H67-1)&gt;=0.67,"Top third",IF((H67-G67)/(H67-1)&lt;=0.33,"Bottom third","Mid-pack")),IF(D67="n.m.","Bottom third (n.m.)","n/a"))</f>
        <v>Mid-pack</v>
      </c>
    </row>
  </sheetData>
  <mergeCells count="14">
    <mergeCell ref="A5:A13"/>
    <mergeCell ref="B5:B13"/>
    <mergeCell ref="A14:A22"/>
    <mergeCell ref="B14:B22"/>
    <mergeCell ref="A23:A31"/>
    <mergeCell ref="B23:B31"/>
    <mergeCell ref="A32:A40"/>
    <mergeCell ref="B32:B40"/>
    <mergeCell ref="A41:A49"/>
    <mergeCell ref="B41:B49"/>
    <mergeCell ref="A50:A58"/>
    <mergeCell ref="B50:B58"/>
    <mergeCell ref="A59:A67"/>
    <mergeCell ref="B59:B67"/>
  </mergeCells>
  <conditionalFormatting sqref="I5:I67">
    <cfRule type="expression" priority="2" aboveAverage="0" equalAverage="0" bottom="0" percent="0" rank="0" text="" dxfId="0">
      <formula>I5="Top third"</formula>
    </cfRule>
    <cfRule type="expression" priority="3" aboveAverage="0" equalAverage="0" bottom="0" percent="0" rank="0" text="" dxfId="1">
      <formula>LEFT(I5,12)="Bottom third"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26" min="4" style="0" width="13.5"/>
  </cols>
  <sheetData>
    <row r="1" customFormat="false" ht="18.55" hidden="false" customHeight="false" outlineLevel="0" collapsed="false">
      <c r="A1" s="5" t="s">
        <v>56</v>
      </c>
    </row>
    <row r="2" customFormat="false" ht="15" hidden="false" customHeight="false" outlineLevel="0" collapsed="false">
      <c r="A2" s="6" t="s">
        <v>57</v>
      </c>
    </row>
    <row r="3" customFormat="false" ht="15" hidden="false" customHeight="false" outlineLevel="0" collapsed="false">
      <c r="A3" s="6" t="s">
        <v>58</v>
      </c>
    </row>
    <row r="5" customFormat="false" ht="15" hidden="false" customHeight="true" outlineLevel="0" collapsed="false">
      <c r="D5" s="17" t="s">
        <v>59</v>
      </c>
      <c r="E5" s="17"/>
      <c r="F5" s="17" t="s">
        <v>60</v>
      </c>
      <c r="G5" s="17"/>
      <c r="H5" s="17" t="s">
        <v>61</v>
      </c>
      <c r="I5" s="17"/>
      <c r="J5" s="17"/>
      <c r="K5" s="17"/>
      <c r="L5" s="17"/>
      <c r="M5" s="17" t="s">
        <v>62</v>
      </c>
      <c r="N5" s="17"/>
      <c r="O5" s="17"/>
      <c r="P5" s="17"/>
      <c r="Q5" s="17" t="s">
        <v>63</v>
      </c>
      <c r="R5" s="17"/>
      <c r="S5" s="17"/>
      <c r="T5" s="17"/>
      <c r="U5" s="17"/>
      <c r="V5" s="17" t="s">
        <v>64</v>
      </c>
      <c r="W5" s="17"/>
      <c r="X5" s="17"/>
      <c r="Y5" s="17"/>
      <c r="Z5" s="17"/>
    </row>
    <row r="6" customFormat="false" ht="55.5" hidden="false" customHeight="true" outlineLevel="0" collapsed="false">
      <c r="A6" s="7" t="s">
        <v>31</v>
      </c>
      <c r="B6" s="7" t="s">
        <v>65</v>
      </c>
      <c r="C6" s="7" t="s">
        <v>66</v>
      </c>
      <c r="D6" s="7" t="s">
        <v>67</v>
      </c>
      <c r="E6" s="7" t="s">
        <v>68</v>
      </c>
      <c r="F6" s="7" t="s">
        <v>39</v>
      </c>
      <c r="G6" s="7" t="s">
        <v>69</v>
      </c>
      <c r="H6" s="7" t="s">
        <v>70</v>
      </c>
      <c r="I6" s="7" t="s">
        <v>71</v>
      </c>
      <c r="J6" s="7" t="s">
        <v>40</v>
      </c>
      <c r="K6" s="7" t="s">
        <v>72</v>
      </c>
      <c r="L6" s="7" t="s">
        <v>41</v>
      </c>
      <c r="M6" s="7" t="s">
        <v>43</v>
      </c>
      <c r="N6" s="7" t="s">
        <v>42</v>
      </c>
      <c r="O6" s="7" t="s">
        <v>73</v>
      </c>
      <c r="P6" s="7" t="s">
        <v>74</v>
      </c>
      <c r="Q6" s="7" t="s">
        <v>75</v>
      </c>
      <c r="R6" s="7" t="s">
        <v>76</v>
      </c>
      <c r="S6" s="7" t="s">
        <v>44</v>
      </c>
      <c r="T6" s="7" t="s">
        <v>45</v>
      </c>
      <c r="U6" s="7" t="s">
        <v>77</v>
      </c>
      <c r="V6" s="7" t="s">
        <v>78</v>
      </c>
      <c r="W6" s="7" t="s">
        <v>46</v>
      </c>
      <c r="X6" s="7" t="s">
        <v>79</v>
      </c>
      <c r="Y6" s="7" t="s">
        <v>47</v>
      </c>
      <c r="Z6" s="7" t="s">
        <v>80</v>
      </c>
    </row>
    <row r="7" customFormat="false" ht="15" hidden="false" customHeight="false" outlineLevel="0" collapsed="false">
      <c r="A7" s="6" t="s">
        <v>81</v>
      </c>
      <c r="D7" s="18" t="n">
        <v>0</v>
      </c>
      <c r="E7" s="18" t="n">
        <v>0</v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18" t="n">
        <v>-1</v>
      </c>
      <c r="R7" s="18" t="n">
        <v>-1</v>
      </c>
      <c r="S7" s="18" t="n">
        <v>-1</v>
      </c>
      <c r="T7" s="18" t="n">
        <v>1</v>
      </c>
      <c r="U7" s="18" t="n">
        <v>1</v>
      </c>
      <c r="V7" s="18" t="n">
        <v>1</v>
      </c>
      <c r="W7" s="18" t="n">
        <v>1</v>
      </c>
      <c r="X7" s="18" t="n">
        <v>0</v>
      </c>
      <c r="Y7" s="18" t="n">
        <v>1</v>
      </c>
      <c r="Z7" s="18" t="n">
        <v>1</v>
      </c>
    </row>
    <row r="8" customFormat="false" ht="15" hidden="false" customHeight="false" outlineLevel="0" collapsed="false">
      <c r="A8" s="19" t="s">
        <v>37</v>
      </c>
      <c r="B8" s="20" t="s">
        <v>82</v>
      </c>
      <c r="C8" s="20" t="s">
        <v>83</v>
      </c>
      <c r="D8" s="21" t="n">
        <f aca="false">Data!$I$5/Data!$H$5/1000</f>
        <v>55.2826960302988</v>
      </c>
      <c r="E8" s="21" t="n">
        <f aca="false">Data!$S$5/Data!$H$5/1000</f>
        <v>14.7899130312807</v>
      </c>
      <c r="F8" s="22" t="n">
        <f aca="false">IFERROR(Data!$I$5/Data!$AD$5-1,"n/a")</f>
        <v>-0.076815097052625</v>
      </c>
      <c r="G8" s="22" t="n">
        <f aca="false">IFERROR(IF(Data!$AI$5&lt;=0,"n.m.",Data!$N$5/Data!$AI$5-1),"n/a")</f>
        <v>0.56502699321115</v>
      </c>
      <c r="H8" s="22" t="n">
        <f aca="false">IF(Data!$K$5="","n/a",Data!$K$5/Data!$I$5)</f>
        <v>0.0159796365657396</v>
      </c>
      <c r="I8" s="22" t="n">
        <f aca="false">IF(OR(Data!$K$5="",Data!$AC$5=""),"n/a",(Data!$K$5-Data!$AC$5)/Data!$I$5)</f>
        <v>0.00684039398712566</v>
      </c>
      <c r="J8" s="22" t="n">
        <f aca="false">IFERROR(Data!$N$5/Data!$I$5,"n/a")</f>
        <v>0.012682564989287</v>
      </c>
      <c r="K8" s="22" t="n">
        <f aca="false">IFERROR(Data!$L$5/Data!$I$5,"n/a")</f>
        <v>-0.00105597330940366</v>
      </c>
      <c r="L8" s="22" t="n">
        <f aca="false">IFERROR(Data!$Q$5/Data!$I$5,"n/a")</f>
        <v>-0.00426974334142058</v>
      </c>
      <c r="M8" s="22" t="n">
        <f aca="false">IFERROR(Data!$N$5/AVERAGE(Data!$S$5,Data!$AN$5),"n/a")</f>
        <v>0.0481182162836485</v>
      </c>
      <c r="N8" s="22" t="n">
        <f aca="false">IFERROR(Data!$Q$5/AVERAGE(Data!$U$5,Data!$AP$5),"n/a")</f>
        <v>-0.0454692042234007</v>
      </c>
      <c r="O8" s="22" t="n">
        <f aca="false">IFERROR(Data!$Q$5/AVERAGE(Data!$S$5,Data!$AN$5),"n/a")</f>
        <v>-0.0161995963554446</v>
      </c>
      <c r="P8" s="23" t="n">
        <f aca="false">IFERROR(Data!$I$5/AVERAGE(Data!$S$5,Data!$AN$5),"n/a")</f>
        <v>3.7940445268204</v>
      </c>
      <c r="Q8" s="22" t="n">
        <f aca="false">IFERROR(Data!$T$5/Data!$S$5,"n/a")</f>
        <v>0.649704483110292</v>
      </c>
      <c r="R8" s="22" t="n">
        <f aca="false">IFERROR(Data!$Z$5/Data!$U$5,"n/a")</f>
        <v>0.76157551494942</v>
      </c>
      <c r="S8" s="23" t="n">
        <f aca="false">IFERROR(IF(Data!$N$5&lt;=0,"n.m.",(Data!$Z$5-Data!$W$5)/Data!$N$5),"n/a")</f>
        <v>4.45307932849572</v>
      </c>
      <c r="T8" s="24" t="n">
        <f aca="false">IFERROR(IF(Data!$O$5&lt;=0,"n/a",Data!$L$5/Data!$O$5),"n/a")</f>
        <v>-0.383097217236015</v>
      </c>
      <c r="U8" s="23" t="n">
        <f aca="false">IFERROR(Data!$X$5/Data!$Y$5,"n/a")</f>
        <v>0.912319470851479</v>
      </c>
      <c r="V8" s="22" t="n">
        <f aca="false">IFERROR(Data!$AA$5/Data!$I$5,"n/a")</f>
        <v>0.01695365313176</v>
      </c>
      <c r="W8" s="22" t="n">
        <f aca="false">IFERROR(IF(Data!$N$5&lt;=0,"n.m.",Data!$AA$5/Data!$N$5),"n/a")</f>
        <v>1.33676848067254</v>
      </c>
      <c r="X8" s="22" t="n">
        <f aca="false">IFERROR(Data!$AB$5/Data!$I$5,"n/a")</f>
        <v>0.00387439720561506</v>
      </c>
      <c r="Y8" s="22" t="n">
        <f aca="false">IFERROR((Data!$AA$5-Data!$AB$5)/Data!$I$5,"n/a")</f>
        <v>0.0130792559261449</v>
      </c>
      <c r="Z8" s="25" t="n">
        <f aca="false">(Data!$AA$5-Data!$AB$5)/Data!$H$5/1000</f>
        <v>0.723056529667555</v>
      </c>
    </row>
    <row r="9" customFormat="false" ht="15" hidden="false" customHeight="false" outlineLevel="0" collapsed="false">
      <c r="A9" s="10" t="s">
        <v>84</v>
      </c>
      <c r="B9" s="10" t="s">
        <v>85</v>
      </c>
      <c r="C9" s="10" t="s">
        <v>83</v>
      </c>
      <c r="D9" s="26" t="n">
        <f aca="false">Data!$I$6/Data!$H$6/1000</f>
        <v>390.459110674709</v>
      </c>
      <c r="E9" s="26" t="n">
        <f aca="false">Data!$S$6/Data!$H$6/1000</f>
        <v>302.372983588161</v>
      </c>
      <c r="F9" s="11" t="n">
        <f aca="false">IFERROR(Data!$I$6/Data!$AD$6-1,"n/a")</f>
        <v>-0.0946407976160507</v>
      </c>
      <c r="G9" s="11" t="n">
        <f aca="false">IFERROR(IF(Data!$AI$6&lt;=0,"n.m.",Data!$N$6/Data!$AI$6-1),"n/a")</f>
        <v>-0.114558484876648</v>
      </c>
      <c r="H9" s="11" t="n">
        <f aca="false">IF(Data!$K$6="","n/a",Data!$K$6/Data!$I$6)</f>
        <v>0.158860001659731</v>
      </c>
      <c r="I9" s="11" t="n">
        <f aca="false">IF(OR(Data!$K$6="",Data!$AC$6=""),"n/a",(Data!$K$6-Data!$AC$6)/Data!$I$6)</f>
        <v>0.0681729267638148</v>
      </c>
      <c r="J9" s="11" t="n">
        <f aca="false">IFERROR(Data!$N$6/Data!$I$6,"n/a")</f>
        <v>0.0616065696621944</v>
      </c>
      <c r="K9" s="11" t="n">
        <f aca="false">IFERROR(Data!$L$6/Data!$I$6,"n/a")</f>
        <v>0.0198032535764157</v>
      </c>
      <c r="L9" s="11" t="n">
        <f aca="false">IFERROR(Data!$Q$6/Data!$I$6,"n/a")</f>
        <v>0.0126635347320342</v>
      </c>
      <c r="M9" s="11" t="n">
        <f aca="false">IFERROR(Data!$N$6/AVERAGE(Data!$S$6,Data!$AN$6),"n/a")</f>
        <v>0.0808826928101862</v>
      </c>
      <c r="N9" s="11" t="n">
        <f aca="false">IFERROR(Data!$Q$6/AVERAGE(Data!$U$6,Data!$AP$6),"n/a")</f>
        <v>0.0358584278749685</v>
      </c>
      <c r="O9" s="11" t="n">
        <f aca="false">IFERROR(Data!$Q$6/AVERAGE(Data!$S$6,Data!$AN$6),"n/a")</f>
        <v>0.0166258370696266</v>
      </c>
      <c r="P9" s="15" t="n">
        <f aca="false">IFERROR(Data!$I$6/AVERAGE(Data!$S$6,Data!$AN$6),"n/a")</f>
        <v>1.31289070717114</v>
      </c>
      <c r="Q9" s="11" t="n">
        <f aca="false">IFERROR(Data!$T$6/Data!$S$6,"n/a")</f>
        <v>0.540840511092648</v>
      </c>
      <c r="R9" s="11" t="n">
        <f aca="false">IFERROR(Data!$Z$6/Data!$U$6,"n/a")</f>
        <v>0.538187582594779</v>
      </c>
      <c r="S9" s="15" t="n">
        <f aca="false">IFERROR(IF(Data!$N$6&lt;=0,"n.m.",(Data!$Z$6-Data!$W$6)/Data!$N$6),"n/a")</f>
        <v>2.21803985141731</v>
      </c>
      <c r="T9" s="16" t="n">
        <f aca="false">IFERROR(IF(Data!$O$6&lt;=0,"n/a",Data!$L$6/Data!$O$6),"n/a")</f>
        <v>2.86403075804021</v>
      </c>
      <c r="U9" s="15" t="n">
        <f aca="false">IFERROR(Data!$X$6/Data!$Y$6,"n/a")</f>
        <v>0.748319740950221</v>
      </c>
      <c r="V9" s="11" t="n">
        <f aca="false">IFERROR(Data!$AA$6/Data!$I$6,"n/a")</f>
        <v>0.0583765599947981</v>
      </c>
      <c r="W9" s="11" t="n">
        <f aca="false">IFERROR(IF(Data!$N$6&lt;=0,"n.m.",Data!$AA$6/Data!$N$6),"n/a")</f>
        <v>0.947570369765638</v>
      </c>
      <c r="X9" s="11" t="n">
        <f aca="false">IFERROR(Data!$AB$6/Data!$I$6,"n/a")</f>
        <v>0.0480046759877467</v>
      </c>
      <c r="Y9" s="11" t="n">
        <f aca="false">IFERROR((Data!$AA$6-Data!$AB$6)/Data!$I$6,"n/a")</f>
        <v>0.0103718840070513</v>
      </c>
      <c r="Z9" s="27" t="n">
        <f aca="false">(Data!$AA$6-Data!$AB$6)/Data!$H$6/1000</f>
        <v>4.04979660541451</v>
      </c>
    </row>
    <row r="10" customFormat="false" ht="15" hidden="false" customHeight="false" outlineLevel="0" collapsed="false">
      <c r="A10" s="10" t="s">
        <v>86</v>
      </c>
      <c r="B10" s="10" t="s">
        <v>85</v>
      </c>
      <c r="C10" s="10" t="s">
        <v>83</v>
      </c>
      <c r="D10" s="26" t="n">
        <f aca="false">Data!$I$7/Data!$H$7/1000</f>
        <v>401.805162014308</v>
      </c>
      <c r="E10" s="26" t="n">
        <f aca="false">Data!$S$7/Data!$H$7/1000</f>
        <v>401.663346892972</v>
      </c>
      <c r="F10" s="11" t="n">
        <f aca="false">IFERROR(Data!$I$7/Data!$AD$7-1,"n/a")</f>
        <v>-0.0250212646031407</v>
      </c>
      <c r="G10" s="11" t="n">
        <f aca="false">IFERROR(IF(Data!$AI$7&lt;=0,"n.m.",Data!$N$7/Data!$AI$7-1),"n/a")</f>
        <v>-0.0299077066083832</v>
      </c>
      <c r="H10" s="11" t="n">
        <f aca="false">IF(Data!$K$7="","n/a",Data!$K$7/Data!$I$7)</f>
        <v>0.215868281346386</v>
      </c>
      <c r="I10" s="11" t="n">
        <f aca="false">IF(OR(Data!$K$7="",Data!$AC$7=""),"n/a",(Data!$K$7-Data!$AC$7)/Data!$I$7)</f>
        <v>0.130590346762349</v>
      </c>
      <c r="J10" s="11" t="n">
        <f aca="false">IFERROR(Data!$N$7/Data!$I$7,"n/a")</f>
        <v>0.169050529085845</v>
      </c>
      <c r="K10" s="11" t="n">
        <f aca="false">IFERROR(Data!$L$7/Data!$I$7,"n/a")</f>
        <v>0.0861004255937139</v>
      </c>
      <c r="L10" s="11" t="n">
        <f aca="false">IFERROR(Data!$Q$7/Data!$I$7,"n/a")</f>
        <v>0.060047778488788</v>
      </c>
      <c r="M10" s="11" t="n">
        <f aca="false">IFERROR(Data!$N$7/AVERAGE(Data!$S$7,Data!$AN$7),"n/a")</f>
        <v>0.172435864907909</v>
      </c>
      <c r="N10" s="11" t="n">
        <f aca="false">IFERROR(Data!$Q$7/AVERAGE(Data!$U$7,Data!$AP$7),"n/a")</f>
        <v>0.097160482704101</v>
      </c>
      <c r="O10" s="11" t="n">
        <f aca="false">IFERROR(Data!$Q$7/AVERAGE(Data!$S$7,Data!$AN$7),"n/a")</f>
        <v>0.0612502704103026</v>
      </c>
      <c r="P10" s="15" t="n">
        <f aca="false">IFERROR(Data!$I$7/AVERAGE(Data!$S$7,Data!$AN$7),"n/a")</f>
        <v>1.02002558548838</v>
      </c>
      <c r="Q10" s="11" t="n">
        <f aca="false">IFERROR(Data!$T$7/Data!$S$7,"n/a")</f>
        <v>0.360642272385347</v>
      </c>
      <c r="R10" s="11" t="n">
        <f aca="false">IFERROR(Data!$Z$7/Data!$U$7,"n/a")</f>
        <v>0.194675585298895</v>
      </c>
      <c r="S10" s="15" t="n">
        <f aca="false">IFERROR(IF(Data!$N$7&lt;=0,"n.m.",(Data!$Z$7-Data!$W$7)/Data!$N$7),"n/a")</f>
        <v>0.242644143399967</v>
      </c>
      <c r="T10" s="16" t="n">
        <f aca="false">IFERROR(IF(Data!$O$7&lt;=0,"n/a",Data!$L$7/Data!$O$7),"n/a")</f>
        <v>14.0395058917288</v>
      </c>
      <c r="U10" s="15" t="n">
        <f aca="false">IFERROR(Data!$X$7/Data!$Y$7,"n/a")</f>
        <v>1.10928698755528</v>
      </c>
      <c r="V10" s="11" t="n">
        <f aca="false">IFERROR(Data!$AA$7/Data!$I$7,"n/a")</f>
        <v>0.14400923871056</v>
      </c>
      <c r="W10" s="11" t="n">
        <f aca="false">IFERROR(IF(Data!$N$7&lt;=0,"n.m.",Data!$AA$7/Data!$N$7),"n/a")</f>
        <v>0.851870973071204</v>
      </c>
      <c r="X10" s="11" t="n">
        <f aca="false">IFERROR(Data!$AB$7/Data!$I$7,"n/a")</f>
        <v>0.102214057823632</v>
      </c>
      <c r="Y10" s="11" t="n">
        <f aca="false">IFERROR((Data!$AA$7-Data!$AB$7)/Data!$I$7,"n/a")</f>
        <v>0.0417951808869288</v>
      </c>
      <c r="Z10" s="27" t="n">
        <f aca="false">(Data!$AA$7-Data!$AB$7)/Data!$H$7/1000</f>
        <v>16.7935194276897</v>
      </c>
    </row>
    <row r="11" customFormat="false" ht="15" hidden="false" customHeight="false" outlineLevel="0" collapsed="false">
      <c r="A11" s="10" t="s">
        <v>87</v>
      </c>
      <c r="B11" s="10" t="s">
        <v>88</v>
      </c>
      <c r="C11" s="10" t="s">
        <v>83</v>
      </c>
      <c r="D11" s="26" t="n">
        <f aca="false">Data!$I$8/Data!$H$8/1000</f>
        <v>28.2069436106046</v>
      </c>
      <c r="E11" s="26" t="n">
        <f aca="false">Data!$S$8/Data!$H$8/1000</f>
        <v>36.7876265955955</v>
      </c>
      <c r="F11" s="11" t="n">
        <f aca="false">IFERROR(Data!$I$8/Data!$AD$8-1,"n/a")</f>
        <v>-0.149378971902336</v>
      </c>
      <c r="G11" s="11" t="n">
        <f aca="false">IFERROR(IF(Data!$AI$8&lt;=0,"n.m.",Data!$N$8/Data!$AI$8-1),"n/a")</f>
        <v>0.050992897100927</v>
      </c>
      <c r="H11" s="11" t="n">
        <f aca="false">IF(Data!$K$8="","n/a",Data!$K$8/Data!$I$8)</f>
        <v>0.131877218840388</v>
      </c>
      <c r="I11" s="11" t="n">
        <f aca="false">IF(OR(Data!$K$8="",Data!$AC$8=""),"n/a",(Data!$K$8-Data!$AC$8)/Data!$I$8)</f>
        <v>0.0872759240027793</v>
      </c>
      <c r="J11" s="11" t="n">
        <f aca="false">IFERROR(Data!$N$8/Data!$I$8,"n/a")</f>
        <v>0.129731106192529</v>
      </c>
      <c r="K11" s="11" t="n">
        <f aca="false">IFERROR(Data!$L$8/Data!$I$8,"n/a")</f>
        <v>0.06808466239248</v>
      </c>
      <c r="L11" s="11" t="n">
        <f aca="false">IFERROR(Data!$Q$8/Data!$I$8,"n/a")</f>
        <v>0.0351795163832847</v>
      </c>
      <c r="M11" s="11" t="n">
        <f aca="false">IFERROR(Data!$N$8/AVERAGE(Data!$S$8,Data!$AN$8),"n/a")</f>
        <v>0.0974602583851747</v>
      </c>
      <c r="N11" s="11" t="n">
        <f aca="false">IFERROR(Data!$Q$8/AVERAGE(Data!$U$8,Data!$AP$8),"n/a")</f>
        <v>0.108658587634692</v>
      </c>
      <c r="O11" s="11" t="n">
        <f aca="false">IFERROR(Data!$Q$8/AVERAGE(Data!$S$8,Data!$AN$8),"n/a")</f>
        <v>0.0264285479188943</v>
      </c>
      <c r="P11" s="15" t="n">
        <f aca="false">IFERROR(Data!$I$8/AVERAGE(Data!$S$8,Data!$AN$8),"n/a")</f>
        <v>0.751248187466603</v>
      </c>
      <c r="Q11" s="11" t="n">
        <f aca="false">IFERROR(Data!$T$8/Data!$S$8,"n/a")</f>
        <v>0.745323231817525</v>
      </c>
      <c r="R11" s="11" t="n">
        <f aca="false">IFERROR(Data!$Z$8/Data!$U$8,"n/a")</f>
        <v>2.27035014800063</v>
      </c>
      <c r="S11" s="15" t="n">
        <f aca="false">IFERROR(IF(Data!$N$8&lt;=0,"n.m.",(Data!$Z$8-Data!$W$8)/Data!$N$8),"n/a")</f>
        <v>4.68377800857567</v>
      </c>
      <c r="T11" s="16" t="n">
        <f aca="false">IFERROR(IF(Data!$O$8&lt;=0,"n/a",Data!$L$8/Data!$O$8),"n/a")</f>
        <v>3.37150434139983</v>
      </c>
      <c r="U11" s="15" t="n">
        <f aca="false">IFERROR(Data!$X$8/Data!$Y$8,"n/a")</f>
        <v>0.557131886220059</v>
      </c>
      <c r="V11" s="11" t="n">
        <f aca="false">IFERROR(Data!$AA$8/Data!$I$8,"n/a")</f>
        <v>0.154767550438205</v>
      </c>
      <c r="W11" s="11" t="n">
        <f aca="false">IFERROR(IF(Data!$N$8&lt;=0,"n.m.",Data!$AA$8/Data!$N$8),"n/a")</f>
        <v>1.19298721008761</v>
      </c>
      <c r="X11" s="11" t="n">
        <f aca="false">IFERROR(Data!$AB$8/Data!$I$8,"n/a")</f>
        <v>0.0353639536889503</v>
      </c>
      <c r="Y11" s="11" t="n">
        <f aca="false">IFERROR((Data!$AA$8-Data!$AB$8)/Data!$I$8,"n/a")</f>
        <v>0.119403596749255</v>
      </c>
      <c r="Z11" s="27" t="n">
        <f aca="false">(Data!$AA$8-Data!$AB$8)/Data!$H$8/1000</f>
        <v>3.3680105204096</v>
      </c>
    </row>
    <row r="12" customFormat="false" ht="15" hidden="false" customHeight="false" outlineLevel="0" collapsed="false">
      <c r="A12" s="10" t="s">
        <v>89</v>
      </c>
      <c r="B12" s="10" t="s">
        <v>88</v>
      </c>
      <c r="C12" s="10" t="s">
        <v>83</v>
      </c>
      <c r="D12" s="26" t="n">
        <f aca="false">Data!$I$9/Data!$H$9/1000</f>
        <v>43.2911092719877</v>
      </c>
      <c r="E12" s="26" t="n">
        <f aca="false">Data!$S$9/Data!$H$9/1000</f>
        <v>54.2338510310001</v>
      </c>
      <c r="F12" s="11" t="n">
        <f aca="false">IFERROR(Data!$I$9/Data!$AD$9-1,"n/a")</f>
        <v>-0.0546836238198003</v>
      </c>
      <c r="G12" s="11" t="n">
        <f aca="false">IFERROR(IF(Data!$AI$9&lt;=0,"n.m.",Data!$N$9/Data!$AI$9-1),"n/a")</f>
        <v>0.0790938214048391</v>
      </c>
      <c r="H12" s="11" t="n">
        <f aca="false">IF(Data!$K$9="","n/a",Data!$K$9/Data!$I$9)</f>
        <v>0.122151668240662</v>
      </c>
      <c r="I12" s="11" t="n">
        <f aca="false">IF(OR(Data!$K$9="",Data!$AC$9=""),"n/a",(Data!$K$9-Data!$AC$9)/Data!$I$9)</f>
        <v>0.0438029047529869</v>
      </c>
      <c r="J12" s="11" t="n">
        <f aca="false">IFERROR(Data!$N$9/Data!$I$9,"n/a")</f>
        <v>0.0852777050297445</v>
      </c>
      <c r="K12" s="11" t="n">
        <f aca="false">IFERROR(Data!$L$9/Data!$I$9,"n/a")</f>
        <v>0.0290246216088624</v>
      </c>
      <c r="L12" s="11" t="n">
        <f aca="false">IFERROR(Data!$Q$9/Data!$I$9,"n/a")</f>
        <v>0.0105269736195812</v>
      </c>
      <c r="M12" s="11" t="n">
        <f aca="false">IFERROR(Data!$N$9/AVERAGE(Data!$S$9,Data!$AN$9),"n/a")</f>
        <v>0.0688536916225939</v>
      </c>
      <c r="N12" s="11" t="n">
        <f aca="false">IFERROR(Data!$Q$9/AVERAGE(Data!$U$9,Data!$AP$9),"n/a")</f>
        <v>0.0338747500214646</v>
      </c>
      <c r="O12" s="11" t="n">
        <f aca="false">IFERROR(Data!$Q$9/AVERAGE(Data!$S$9,Data!$AN$9),"n/a")</f>
        <v>0.00849953683754753</v>
      </c>
      <c r="P12" s="15" t="n">
        <f aca="false">IFERROR(Data!$I$9/AVERAGE(Data!$S$9,Data!$AN$9),"n/a")</f>
        <v>0.807405541677957</v>
      </c>
      <c r="Q12" s="11" t="n">
        <f aca="false">IFERROR(Data!$T$9/Data!$S$9,"n/a")</f>
        <v>0.749137275160108</v>
      </c>
      <c r="R12" s="11" t="n">
        <f aca="false">IFERROR(Data!$Z$9/Data!$U$9,"n/a")</f>
        <v>2.14577018175725</v>
      </c>
      <c r="S12" s="15" t="n">
        <f aca="false">IFERROR(IF(Data!$N$9&lt;=0,"n.m.",(Data!$Z$9-Data!$W$9)/Data!$N$9),"n/a")</f>
        <v>7.39486541135941</v>
      </c>
      <c r="T12" s="16" t="n">
        <f aca="false">IFERROR(IF(Data!$O$9&lt;=0,"n/a",Data!$L$9/Data!$O$9),"n/a")</f>
        <v>1.5366745001622</v>
      </c>
      <c r="U12" s="15" t="n">
        <f aca="false">IFERROR(Data!$X$9/Data!$Y$9,"n/a")</f>
        <v>0.393369123211139</v>
      </c>
      <c r="V12" s="11" t="n">
        <f aca="false">IFERROR(Data!$AA$9/Data!$I$9,"n/a")</f>
        <v>0.147126323508464</v>
      </c>
      <c r="W12" s="11" t="n">
        <f aca="false">IFERROR(IF(Data!$N$9&lt;=0,"n.m.",Data!$AA$9/Data!$N$9),"n/a")</f>
        <v>1.72526129141429</v>
      </c>
      <c r="X12" s="11" t="n">
        <f aca="false">IFERROR(Data!$AB$9/Data!$I$9,"n/a")</f>
        <v>0.138297989194676</v>
      </c>
      <c r="Y12" s="11" t="n">
        <f aca="false">IFERROR((Data!$AA$9-Data!$AB$9)/Data!$I$9,"n/a")</f>
        <v>0.00882833431378738</v>
      </c>
      <c r="Z12" s="27" t="n">
        <f aca="false">(Data!$AA$9-Data!$AB$9)/Data!$H$9/1000</f>
        <v>0.382188385467807</v>
      </c>
    </row>
    <row r="13" customFormat="false" ht="15" hidden="false" customHeight="false" outlineLevel="0" collapsed="false">
      <c r="A13" s="10" t="s">
        <v>90</v>
      </c>
      <c r="B13" s="10" t="s">
        <v>91</v>
      </c>
      <c r="C13" s="10" t="s">
        <v>83</v>
      </c>
      <c r="D13" s="26" t="n">
        <f aca="false">Data!$I$10/Data!$H$10/1000</f>
        <v>10.5994088932529</v>
      </c>
      <c r="E13" s="26" t="n">
        <f aca="false">Data!$S$10/Data!$H$10/1000</f>
        <v>5.96950960864076</v>
      </c>
      <c r="F13" s="11" t="n">
        <f aca="false">IFERROR(Data!$I$10/Data!$AD$10-1,"n/a")</f>
        <v>-0.132781585629847</v>
      </c>
      <c r="G13" s="11" t="n">
        <f aca="false">IFERROR(IF(Data!$AI$10&lt;=0,"n.m.",Data!$N$10/Data!$AI$10-1),"n/a")</f>
        <v>-0.461766950076303</v>
      </c>
      <c r="H13" s="11" t="n">
        <f aca="false">IF(Data!$K$10="","n/a",Data!$K$10/Data!$I$10)</f>
        <v>0.158521531900468</v>
      </c>
      <c r="I13" s="11" t="n">
        <f aca="false">IF(OR(Data!$K$10="",Data!$AC$10=""),"n/a",(Data!$K$10-Data!$AC$10)/Data!$I$10)</f>
        <v>0.00626199112356114</v>
      </c>
      <c r="J13" s="11" t="n">
        <f aca="false">IFERROR(Data!$N$10/Data!$I$10,"n/a")</f>
        <v>0.0295363803214968</v>
      </c>
      <c r="K13" s="11" t="n">
        <f aca="false">IFERROR(Data!$L$10/Data!$I$10,"n/a")</f>
        <v>-0.0210516136786503</v>
      </c>
      <c r="L13" s="11" t="n">
        <f aca="false">IFERROR(Data!$Q$10/Data!$I$10,"n/a")</f>
        <v>-0.0189292177277967</v>
      </c>
      <c r="M13" s="11" t="n">
        <f aca="false">IFERROR(Data!$N$10/AVERAGE(Data!$S$10,Data!$AN$10),"n/a")</f>
        <v>0.0529341772314919</v>
      </c>
      <c r="N13" s="11" t="n">
        <f aca="false">IFERROR(Data!$Q$10/AVERAGE(Data!$U$10,Data!$AP$10),"n/a")</f>
        <v>-0.0586560702735114</v>
      </c>
      <c r="O13" s="11" t="n">
        <f aca="false">IFERROR(Data!$Q$10/AVERAGE(Data!$S$10,Data!$AN$10),"n/a")</f>
        <v>-0.0339243521091657</v>
      </c>
      <c r="P13" s="15" t="n">
        <f aca="false">IFERROR(Data!$I$10/AVERAGE(Data!$S$10,Data!$AN$10),"n/a")</f>
        <v>1.79216873074207</v>
      </c>
      <c r="Q13" s="11" t="n">
        <f aca="false">IFERROR(Data!$T$10/Data!$S$10,"n/a")</f>
        <v>0.444826533978228</v>
      </c>
      <c r="R13" s="11" t="n">
        <f aca="false">IFERROR(Data!$Z$10/Data!$U$10,"n/a")</f>
        <v>0.110912011073754</v>
      </c>
      <c r="S13" s="15" t="n">
        <f aca="false">IFERROR(IF(Data!$N$10&lt;=0,"n.m.",(Data!$Z$10-Data!$W$10)/Data!$N$10),"n/a")</f>
        <v>-2.21108240066707</v>
      </c>
      <c r="T13" s="16" t="n">
        <f aca="false">IFERROR(IF(Data!$O$10&lt;=0,"n/a",Data!$L$10/Data!$O$10),"n/a")</f>
        <v>-97.4351953938503</v>
      </c>
      <c r="U13" s="15" t="n">
        <f aca="false">IFERROR(Data!$X$10/Data!$Y$10,"n/a")</f>
        <v>0.933345284629444</v>
      </c>
      <c r="V13" s="11" t="n">
        <f aca="false">IFERROR(Data!$AA$10/Data!$I$10,"n/a")</f>
        <v>0.0263796447121751</v>
      </c>
      <c r="W13" s="11" t="n">
        <f aca="false">IFERROR(IF(Data!$N$10&lt;=0,"n.m.",Data!$AA$10/Data!$N$10),"n/a")</f>
        <v>0.893123816291591</v>
      </c>
      <c r="X13" s="11" t="n">
        <f aca="false">IFERROR(Data!$AB$10/Data!$I$10,"n/a")</f>
        <v>0.0419325622400305</v>
      </c>
      <c r="Y13" s="11" t="n">
        <f aca="false">IFERROR((Data!$AA$10-Data!$AB$10)/Data!$I$10,"n/a")</f>
        <v>-0.0155529175278554</v>
      </c>
      <c r="Z13" s="27" t="n">
        <f aca="false">(Data!$AA$10-Data!$AB$10)/Data!$H$10/1000</f>
        <v>-0.16485173236078</v>
      </c>
    </row>
    <row r="15" customFormat="false" ht="15" hidden="false" customHeight="false" outlineLevel="0" collapsed="false">
      <c r="A15" s="28" t="s">
        <v>92</v>
      </c>
      <c r="B15" s="29"/>
      <c r="C15" s="29"/>
      <c r="D15" s="30" t="n">
        <f aca="false">IFERROR(MEDIAN(D9:D13),"n/a")</f>
        <v>43.2911092719877</v>
      </c>
      <c r="E15" s="30" t="n">
        <f aca="false">IFERROR(MEDIAN(E9:E13),"n/a")</f>
        <v>54.2338510310001</v>
      </c>
      <c r="F15" s="31" t="n">
        <f aca="false">IFERROR(MEDIAN(F9:F13),"n/a")</f>
        <v>-0.0946407976160507</v>
      </c>
      <c r="G15" s="31" t="n">
        <f aca="false">IFERROR(MEDIAN(G9:G13),"n/a")</f>
        <v>-0.0299077066083832</v>
      </c>
      <c r="H15" s="31" t="n">
        <f aca="false">IFERROR(MEDIAN(H9:H13),"n/a")</f>
        <v>0.158521531900468</v>
      </c>
      <c r="I15" s="31" t="n">
        <f aca="false">IFERROR(MEDIAN(I9:I13),"n/a")</f>
        <v>0.0681729267638148</v>
      </c>
      <c r="J15" s="31" t="n">
        <f aca="false">IFERROR(MEDIAN(J9:J13),"n/a")</f>
        <v>0.0852777050297445</v>
      </c>
      <c r="K15" s="31" t="n">
        <f aca="false">IFERROR(MEDIAN(K9:K13),"n/a")</f>
        <v>0.0290246216088624</v>
      </c>
      <c r="L15" s="31" t="n">
        <f aca="false">IFERROR(MEDIAN(L9:L13),"n/a")</f>
        <v>0.0126635347320342</v>
      </c>
      <c r="M15" s="31" t="n">
        <f aca="false">IFERROR(MEDIAN(M9:M13),"n/a")</f>
        <v>0.0808826928101862</v>
      </c>
      <c r="N15" s="31" t="n">
        <f aca="false">IFERROR(MEDIAN(N9:N13),"n/a")</f>
        <v>0.0358584278749685</v>
      </c>
      <c r="O15" s="31" t="n">
        <f aca="false">IFERROR(MEDIAN(O9:O13),"n/a")</f>
        <v>0.0166258370696266</v>
      </c>
      <c r="P15" s="32" t="n">
        <f aca="false">IFERROR(MEDIAN(P9:P13),"n/a")</f>
        <v>1.02002558548838</v>
      </c>
      <c r="Q15" s="31" t="n">
        <f aca="false">IFERROR(MEDIAN(Q9:Q13),"n/a")</f>
        <v>0.540840511092648</v>
      </c>
      <c r="R15" s="31" t="n">
        <f aca="false">IFERROR(MEDIAN(R9:R13),"n/a")</f>
        <v>0.538187582594779</v>
      </c>
      <c r="S15" s="32" t="n">
        <f aca="false">IFERROR(MEDIAN(S9:S13),"n/a")</f>
        <v>2.21803985141731</v>
      </c>
      <c r="T15" s="33" t="n">
        <f aca="false">IFERROR(MEDIAN(T9:T13),"n/a")</f>
        <v>2.86403075804021</v>
      </c>
      <c r="U15" s="32" t="n">
        <f aca="false">IFERROR(MEDIAN(U9:U13),"n/a")</f>
        <v>0.748319740950221</v>
      </c>
      <c r="V15" s="31" t="n">
        <f aca="false">IFERROR(MEDIAN(V9:V13),"n/a")</f>
        <v>0.14400923871056</v>
      </c>
      <c r="W15" s="31" t="n">
        <f aca="false">IFERROR(MEDIAN(W9:W13),"n/a")</f>
        <v>0.947570369765638</v>
      </c>
      <c r="X15" s="31" t="n">
        <f aca="false">IFERROR(MEDIAN(X9:X13),"n/a")</f>
        <v>0.0480046759877467</v>
      </c>
      <c r="Y15" s="31" t="n">
        <f aca="false">IFERROR(MEDIAN(Y9:Y13),"n/a")</f>
        <v>0.0103718840070513</v>
      </c>
      <c r="Z15" s="34" t="n">
        <f aca="false">IFERROR(MEDIAN(Z9:Z13),"n/a")</f>
        <v>3.3680105204096</v>
      </c>
    </row>
    <row r="16" customFormat="false" ht="15" hidden="false" customHeight="false" outlineLevel="0" collapsed="false">
      <c r="A16" s="35" t="s">
        <v>93</v>
      </c>
      <c r="B16" s="29"/>
      <c r="C16" s="29"/>
      <c r="D16" s="36" t="n">
        <f aca="false">IFERROR(MAX(D9:D13),"n/a")</f>
        <v>401.805162014308</v>
      </c>
      <c r="E16" s="36" t="n">
        <f aca="false">IFERROR(MAX(E9:E13),"n/a")</f>
        <v>401.663346892972</v>
      </c>
      <c r="F16" s="37" t="n">
        <f aca="false">IFERROR(MAX(F9:F13),"n/a")</f>
        <v>-0.0250212646031407</v>
      </c>
      <c r="G16" s="37" t="n">
        <f aca="false">IFERROR(MAX(G9:G13),"n/a")</f>
        <v>0.0790938214048391</v>
      </c>
      <c r="H16" s="37" t="n">
        <f aca="false">IFERROR(MAX(H9:H13),"n/a")</f>
        <v>0.215868281346386</v>
      </c>
      <c r="I16" s="37" t="n">
        <f aca="false">IFERROR(MAX(I9:I13),"n/a")</f>
        <v>0.130590346762349</v>
      </c>
      <c r="J16" s="37" t="n">
        <f aca="false">IFERROR(MAX(J9:J13),"n/a")</f>
        <v>0.169050529085845</v>
      </c>
      <c r="K16" s="37" t="n">
        <f aca="false">IFERROR(MAX(K9:K13),"n/a")</f>
        <v>0.0861004255937139</v>
      </c>
      <c r="L16" s="37" t="n">
        <f aca="false">IFERROR(MAX(L9:L13),"n/a")</f>
        <v>0.060047778488788</v>
      </c>
      <c r="M16" s="37" t="n">
        <f aca="false">IFERROR(MAX(M9:M13),"n/a")</f>
        <v>0.172435864907909</v>
      </c>
      <c r="N16" s="37" t="n">
        <f aca="false">IFERROR(MAX(N9:N13),"n/a")</f>
        <v>0.108658587634692</v>
      </c>
      <c r="O16" s="37" t="n">
        <f aca="false">IFERROR(MAX(O9:O13),"n/a")</f>
        <v>0.0612502704103026</v>
      </c>
      <c r="P16" s="38" t="n">
        <f aca="false">IFERROR(MAX(P9:P13),"n/a")</f>
        <v>1.79216873074207</v>
      </c>
      <c r="Q16" s="37" t="n">
        <f aca="false">IFERROR(MAX(Q9:Q13),"n/a")</f>
        <v>0.749137275160108</v>
      </c>
      <c r="R16" s="37" t="n">
        <f aca="false">IFERROR(MAX(R9:R13),"n/a")</f>
        <v>2.27035014800063</v>
      </c>
      <c r="S16" s="38" t="n">
        <f aca="false">IFERROR(MAX(S9:S13),"n/a")</f>
        <v>7.39486541135941</v>
      </c>
      <c r="T16" s="39" t="n">
        <f aca="false">IFERROR(MAX(T9:T13),"n/a")</f>
        <v>14.0395058917288</v>
      </c>
      <c r="U16" s="38" t="n">
        <f aca="false">IFERROR(MAX(U9:U13),"n/a")</f>
        <v>1.10928698755528</v>
      </c>
      <c r="V16" s="37" t="n">
        <f aca="false">IFERROR(MAX(V9:V13),"n/a")</f>
        <v>0.154767550438205</v>
      </c>
      <c r="W16" s="37" t="n">
        <f aca="false">IFERROR(MAX(W9:W13),"n/a")</f>
        <v>1.72526129141429</v>
      </c>
      <c r="X16" s="37" t="n">
        <f aca="false">IFERROR(MAX(X9:X13),"n/a")</f>
        <v>0.138297989194676</v>
      </c>
      <c r="Y16" s="37" t="n">
        <f aca="false">IFERROR(MAX(Y9:Y13),"n/a")</f>
        <v>0.119403596749255</v>
      </c>
      <c r="Z16" s="40" t="n">
        <f aca="false">IFERROR(MAX(Z9:Z13),"n/a")</f>
        <v>16.7935194276897</v>
      </c>
    </row>
    <row r="17" customFormat="false" ht="15" hidden="false" customHeight="false" outlineLevel="0" collapsed="false">
      <c r="A17" s="35" t="s">
        <v>94</v>
      </c>
      <c r="B17" s="29"/>
      <c r="C17" s="29"/>
      <c r="D17" s="36" t="n">
        <f aca="false">IFERROR(MIN(D9:D13),"n/a")</f>
        <v>10.5994088932529</v>
      </c>
      <c r="E17" s="36" t="n">
        <f aca="false">IFERROR(MIN(E9:E13),"n/a")</f>
        <v>5.96950960864076</v>
      </c>
      <c r="F17" s="37" t="n">
        <f aca="false">IFERROR(MIN(F9:F13),"n/a")</f>
        <v>-0.149378971902336</v>
      </c>
      <c r="G17" s="37" t="n">
        <f aca="false">IFERROR(MIN(G9:G13),"n/a")</f>
        <v>-0.461766950076303</v>
      </c>
      <c r="H17" s="37" t="n">
        <f aca="false">IFERROR(MIN(H9:H13),"n/a")</f>
        <v>0.122151668240662</v>
      </c>
      <c r="I17" s="37" t="n">
        <f aca="false">IFERROR(MIN(I9:I13),"n/a")</f>
        <v>0.00626199112356114</v>
      </c>
      <c r="J17" s="37" t="n">
        <f aca="false">IFERROR(MIN(J9:J13),"n/a")</f>
        <v>0.0295363803214968</v>
      </c>
      <c r="K17" s="37" t="n">
        <f aca="false">IFERROR(MIN(K9:K13),"n/a")</f>
        <v>-0.0210516136786503</v>
      </c>
      <c r="L17" s="37" t="n">
        <f aca="false">IFERROR(MIN(L9:L13),"n/a")</f>
        <v>-0.0189292177277967</v>
      </c>
      <c r="M17" s="37" t="n">
        <f aca="false">IFERROR(MIN(M9:M13),"n/a")</f>
        <v>0.0529341772314919</v>
      </c>
      <c r="N17" s="37" t="n">
        <f aca="false">IFERROR(MIN(N9:N13),"n/a")</f>
        <v>-0.0586560702735114</v>
      </c>
      <c r="O17" s="37" t="n">
        <f aca="false">IFERROR(MIN(O9:O13),"n/a")</f>
        <v>-0.0339243521091657</v>
      </c>
      <c r="P17" s="38" t="n">
        <f aca="false">IFERROR(MIN(P9:P13),"n/a")</f>
        <v>0.751248187466603</v>
      </c>
      <c r="Q17" s="37" t="n">
        <f aca="false">IFERROR(MIN(Q9:Q13),"n/a")</f>
        <v>0.360642272385347</v>
      </c>
      <c r="R17" s="37" t="n">
        <f aca="false">IFERROR(MIN(R9:R13),"n/a")</f>
        <v>0.110912011073754</v>
      </c>
      <c r="S17" s="38" t="n">
        <f aca="false">IFERROR(MIN(S9:S13),"n/a")</f>
        <v>-2.21108240066707</v>
      </c>
      <c r="T17" s="39" t="n">
        <f aca="false">IFERROR(MIN(T9:T13),"n/a")</f>
        <v>-97.4351953938503</v>
      </c>
      <c r="U17" s="38" t="n">
        <f aca="false">IFERROR(MIN(U9:U13),"n/a")</f>
        <v>0.393369123211139</v>
      </c>
      <c r="V17" s="37" t="n">
        <f aca="false">IFERROR(MIN(V9:V13),"n/a")</f>
        <v>0.0263796447121751</v>
      </c>
      <c r="W17" s="37" t="n">
        <f aca="false">IFERROR(MIN(W9:W13),"n/a")</f>
        <v>0.851870973071204</v>
      </c>
      <c r="X17" s="37" t="n">
        <f aca="false">IFERROR(MIN(X9:X13),"n/a")</f>
        <v>0.0353639536889503</v>
      </c>
      <c r="Y17" s="37" t="n">
        <f aca="false">IFERROR(MIN(Y9:Y13),"n/a")</f>
        <v>-0.0155529175278554</v>
      </c>
      <c r="Z17" s="40" t="n">
        <f aca="false">IFERROR(MIN(Z9:Z13),"n/a")</f>
        <v>-0.16485173236078</v>
      </c>
    </row>
    <row r="18" customFormat="false" ht="15" hidden="false" customHeight="false" outlineLevel="0" collapsed="false">
      <c r="A18" s="28" t="s">
        <v>95</v>
      </c>
      <c r="B18" s="29"/>
      <c r="C18" s="29"/>
      <c r="D18" s="30" t="n">
        <f aca="false">IFERROR(MEDIAN(D9:D10),"n/a")</f>
        <v>396.132136344508</v>
      </c>
      <c r="E18" s="30" t="n">
        <f aca="false">IFERROR(MEDIAN(E9:E10),"n/a")</f>
        <v>352.018165240567</v>
      </c>
      <c r="F18" s="31" t="n">
        <f aca="false">IFERROR(MEDIAN(F9:F10),"n/a")</f>
        <v>-0.0598310311095957</v>
      </c>
      <c r="G18" s="31" t="n">
        <f aca="false">IFERROR(MEDIAN(G9:G10),"n/a")</f>
        <v>-0.0722330957425158</v>
      </c>
      <c r="H18" s="31" t="n">
        <f aca="false">IFERROR(MEDIAN(H9:H10),"n/a")</f>
        <v>0.187364141503059</v>
      </c>
      <c r="I18" s="31" t="n">
        <f aca="false">IFERROR(MEDIAN(I9:I10),"n/a")</f>
        <v>0.0993816367630821</v>
      </c>
      <c r="J18" s="31" t="n">
        <f aca="false">IFERROR(MEDIAN(J9:J10),"n/a")</f>
        <v>0.115328549374019</v>
      </c>
      <c r="K18" s="31" t="n">
        <f aca="false">IFERROR(MEDIAN(K9:K10),"n/a")</f>
        <v>0.0529518395850648</v>
      </c>
      <c r="L18" s="31" t="n">
        <f aca="false">IFERROR(MEDIAN(L9:L10),"n/a")</f>
        <v>0.0363556566104111</v>
      </c>
      <c r="M18" s="31" t="n">
        <f aca="false">IFERROR(MEDIAN(M9:M10),"n/a")</f>
        <v>0.126659278859048</v>
      </c>
      <c r="N18" s="31" t="n">
        <f aca="false">IFERROR(MEDIAN(N9:N10),"n/a")</f>
        <v>0.0665094552895348</v>
      </c>
      <c r="O18" s="31" t="n">
        <f aca="false">IFERROR(MEDIAN(O9:O10),"n/a")</f>
        <v>0.0389380537399646</v>
      </c>
      <c r="P18" s="32" t="n">
        <f aca="false">IFERROR(MEDIAN(P9:P10),"n/a")</f>
        <v>1.16645814632976</v>
      </c>
      <c r="Q18" s="31" t="n">
        <f aca="false">IFERROR(MEDIAN(Q9:Q10),"n/a")</f>
        <v>0.450741391738997</v>
      </c>
      <c r="R18" s="31" t="n">
        <f aca="false">IFERROR(MEDIAN(R9:R10),"n/a")</f>
        <v>0.366431583946837</v>
      </c>
      <c r="S18" s="32" t="n">
        <f aca="false">IFERROR(MEDIAN(S9:S10),"n/a")</f>
        <v>1.23034199740864</v>
      </c>
      <c r="T18" s="33" t="n">
        <f aca="false">IFERROR(MEDIAN(T9:T10),"n/a")</f>
        <v>8.45176832488451</v>
      </c>
      <c r="U18" s="32" t="n">
        <f aca="false">IFERROR(MEDIAN(U9:U10),"n/a")</f>
        <v>0.92880336425275</v>
      </c>
      <c r="V18" s="31" t="n">
        <f aca="false">IFERROR(MEDIAN(V9:V10),"n/a")</f>
        <v>0.101192899352679</v>
      </c>
      <c r="W18" s="31" t="n">
        <f aca="false">IFERROR(MEDIAN(W9:W10),"n/a")</f>
        <v>0.899720671418421</v>
      </c>
      <c r="X18" s="31" t="n">
        <f aca="false">IFERROR(MEDIAN(X9:X10),"n/a")</f>
        <v>0.0751093669056891</v>
      </c>
      <c r="Y18" s="31" t="n">
        <f aca="false">IFERROR(MEDIAN(Y9:Y10),"n/a")</f>
        <v>0.0260835324469901</v>
      </c>
      <c r="Z18" s="34" t="n">
        <f aca="false">IFERROR(MEDIAN(Z9:Z10),"n/a")</f>
        <v>10.4216580165521</v>
      </c>
    </row>
    <row r="19" customFormat="false" ht="15" hidden="false" customHeight="false" outlineLevel="0" collapsed="false">
      <c r="A19" s="28" t="s">
        <v>96</v>
      </c>
      <c r="B19" s="29"/>
      <c r="C19" s="29"/>
      <c r="D19" s="30" t="n">
        <f aca="false">IFERROR(MEDIAN(D11:D12),"n/a")</f>
        <v>35.7490264412961</v>
      </c>
      <c r="E19" s="30" t="n">
        <f aca="false">IFERROR(MEDIAN(E11:E12),"n/a")</f>
        <v>45.5107388132978</v>
      </c>
      <c r="F19" s="31" t="n">
        <f aca="false">IFERROR(MEDIAN(F11:F12),"n/a")</f>
        <v>-0.102031297861068</v>
      </c>
      <c r="G19" s="31" t="n">
        <f aca="false">IFERROR(MEDIAN(G11:G12),"n/a")</f>
        <v>0.0650433592528831</v>
      </c>
      <c r="H19" s="31" t="n">
        <f aca="false">IFERROR(MEDIAN(H11:H12),"n/a")</f>
        <v>0.127014443540525</v>
      </c>
      <c r="I19" s="31" t="n">
        <f aca="false">IFERROR(MEDIAN(I11:I12),"n/a")</f>
        <v>0.0655394143778831</v>
      </c>
      <c r="J19" s="31" t="n">
        <f aca="false">IFERROR(MEDIAN(J11:J12),"n/a")</f>
        <v>0.107504405611137</v>
      </c>
      <c r="K19" s="31" t="n">
        <f aca="false">IFERROR(MEDIAN(K11:K12),"n/a")</f>
        <v>0.0485546420006712</v>
      </c>
      <c r="L19" s="31" t="n">
        <f aca="false">IFERROR(MEDIAN(L11:L12),"n/a")</f>
        <v>0.0228532450014329</v>
      </c>
      <c r="M19" s="31" t="n">
        <f aca="false">IFERROR(MEDIAN(M11:M12),"n/a")</f>
        <v>0.0831569750038843</v>
      </c>
      <c r="N19" s="31" t="n">
        <f aca="false">IFERROR(MEDIAN(N11:N12),"n/a")</f>
        <v>0.0712666688280781</v>
      </c>
      <c r="O19" s="31" t="n">
        <f aca="false">IFERROR(MEDIAN(O11:O12),"n/a")</f>
        <v>0.0174640423782209</v>
      </c>
      <c r="P19" s="32" t="n">
        <f aca="false">IFERROR(MEDIAN(P11:P12),"n/a")</f>
        <v>0.77932686457228</v>
      </c>
      <c r="Q19" s="31" t="n">
        <f aca="false">IFERROR(MEDIAN(Q11:Q12),"n/a")</f>
        <v>0.747230253488816</v>
      </c>
      <c r="R19" s="31" t="n">
        <f aca="false">IFERROR(MEDIAN(R11:R12),"n/a")</f>
        <v>2.20806016487894</v>
      </c>
      <c r="S19" s="32" t="n">
        <f aca="false">IFERROR(MEDIAN(S11:S12),"n/a")</f>
        <v>6.03932170996754</v>
      </c>
      <c r="T19" s="33" t="n">
        <f aca="false">IFERROR(MEDIAN(T11:T12),"n/a")</f>
        <v>2.45408942078102</v>
      </c>
      <c r="U19" s="32" t="n">
        <f aca="false">IFERROR(MEDIAN(U11:U12),"n/a")</f>
        <v>0.475250504715599</v>
      </c>
      <c r="V19" s="31" t="n">
        <f aca="false">IFERROR(MEDIAN(V11:V12),"n/a")</f>
        <v>0.150946936973334</v>
      </c>
      <c r="W19" s="31" t="n">
        <f aca="false">IFERROR(MEDIAN(W11:W12),"n/a")</f>
        <v>1.45912425075095</v>
      </c>
      <c r="X19" s="31" t="n">
        <f aca="false">IFERROR(MEDIAN(X11:X12),"n/a")</f>
        <v>0.0868309714418133</v>
      </c>
      <c r="Y19" s="31" t="n">
        <f aca="false">IFERROR(MEDIAN(Y11:Y12),"n/a")</f>
        <v>0.064115965531521</v>
      </c>
      <c r="Z19" s="34" t="n">
        <f aca="false">IFERROR(MEDIAN(Z11:Z12),"n/a")</f>
        <v>1.8750994529387</v>
      </c>
    </row>
    <row r="21" customFormat="false" ht="15" hidden="false" customHeight="false" outlineLevel="0" collapsed="false">
      <c r="A21" s="41" t="s">
        <v>97</v>
      </c>
      <c r="B21" s="42"/>
      <c r="C21" s="42"/>
      <c r="D21" s="43" t="n">
        <f aca="false">IFERROR(D8-D15,"n/a")</f>
        <v>11.9915867583111</v>
      </c>
      <c r="E21" s="43" t="n">
        <f aca="false">IFERROR(E8-E15,"n/a")</f>
        <v>-39.4439379997195</v>
      </c>
      <c r="F21" s="44" t="n">
        <f aca="false">IFERROR(F8-F15,"n/a")</f>
        <v>0.0178257005634257</v>
      </c>
      <c r="G21" s="44" t="n">
        <f aca="false">IFERROR(G8-G15,"n/a")</f>
        <v>0.594934699819533</v>
      </c>
      <c r="H21" s="44" t="n">
        <f aca="false">IFERROR(H8-H15,"n/a")</f>
        <v>-0.142541895334728</v>
      </c>
      <c r="I21" s="44" t="n">
        <f aca="false">IFERROR(I8-I15,"n/a")</f>
        <v>-0.0613325327766892</v>
      </c>
      <c r="J21" s="44" t="n">
        <f aca="false">IFERROR(J8-J15,"n/a")</f>
        <v>-0.0725951400404575</v>
      </c>
      <c r="K21" s="44" t="n">
        <f aca="false">IFERROR(K8-K15,"n/a")</f>
        <v>-0.030080594918266</v>
      </c>
      <c r="L21" s="44" t="n">
        <f aca="false">IFERROR(L8-L15,"n/a")</f>
        <v>-0.0169332780734548</v>
      </c>
      <c r="M21" s="44" t="n">
        <f aca="false">IFERROR(M8-M15,"n/a")</f>
        <v>-0.0327644765265378</v>
      </c>
      <c r="N21" s="44" t="n">
        <f aca="false">IFERROR(N8-N15,"n/a")</f>
        <v>-0.0813276320983692</v>
      </c>
      <c r="O21" s="44" t="n">
        <f aca="false">IFERROR(O8-O15,"n/a")</f>
        <v>-0.0328254334250713</v>
      </c>
      <c r="P21" s="45" t="n">
        <f aca="false">IFERROR(P8-P15,"n/a")</f>
        <v>2.77401894133202</v>
      </c>
      <c r="Q21" s="44" t="n">
        <f aca="false">IFERROR(Q8-Q15,"n/a")</f>
        <v>0.108863972017645</v>
      </c>
      <c r="R21" s="44" t="n">
        <f aca="false">IFERROR(R8-R15,"n/a")</f>
        <v>0.22338793235464</v>
      </c>
      <c r="S21" s="45" t="n">
        <f aca="false">IFERROR(S8-S15,"n/a")</f>
        <v>2.23503947707841</v>
      </c>
      <c r="T21" s="46" t="n">
        <f aca="false">IFERROR(T8-T15,"n/a")</f>
        <v>-3.24712797527623</v>
      </c>
      <c r="U21" s="45" t="n">
        <f aca="false">IFERROR(U8-U15,"n/a")</f>
        <v>0.163999729901258</v>
      </c>
      <c r="V21" s="44" t="n">
        <f aca="false">IFERROR(V8-V15,"n/a")</f>
        <v>-0.1270555855788</v>
      </c>
      <c r="W21" s="44" t="n">
        <f aca="false">IFERROR(W8-W15,"n/a")</f>
        <v>0.389198110906906</v>
      </c>
      <c r="X21" s="44" t="n">
        <f aca="false">IFERROR(X8-X15,"n/a")</f>
        <v>-0.0441302787821317</v>
      </c>
      <c r="Y21" s="44" t="n">
        <f aca="false">IFERROR(Y8-Y15,"n/a")</f>
        <v>0.0027073719190936</v>
      </c>
      <c r="Z21" s="47" t="n">
        <f aca="false">IFERROR(Z8-Z15,"n/a")</f>
        <v>-2.64495399074204</v>
      </c>
    </row>
  </sheetData>
  <mergeCells count="6">
    <mergeCell ref="D5:E5"/>
    <mergeCell ref="F5:G5"/>
    <mergeCell ref="H5:L5"/>
    <mergeCell ref="M5:P5"/>
    <mergeCell ref="Q5:U5"/>
    <mergeCell ref="V5:Z5"/>
  </mergeCells>
  <conditionalFormatting sqref="F21">
    <cfRule type="expression" priority="2" aboveAverage="0" equalAverage="0" bottom="0" percent="0" rank="0" text="" dxfId="2">
      <formula>AND(ISNUMBER(F21),F21*F$7&gt;0)</formula>
    </cfRule>
    <cfRule type="expression" priority="3" aboveAverage="0" equalAverage="0" bottom="0" percent="0" rank="0" text="" dxfId="3">
      <formula>AND(ISNUMBER(F21),F21*F$7&lt;0)</formula>
    </cfRule>
  </conditionalFormatting>
  <conditionalFormatting sqref="G21">
    <cfRule type="expression" priority="4" aboveAverage="0" equalAverage="0" bottom="0" percent="0" rank="0" text="" dxfId="2">
      <formula>AND(ISNUMBER(G21),G21*G$7&gt;0)</formula>
    </cfRule>
    <cfRule type="expression" priority="5" aboveAverage="0" equalAverage="0" bottom="0" percent="0" rank="0" text="" dxfId="3">
      <formula>AND(ISNUMBER(G21),G21*G$7&lt;0)</formula>
    </cfRule>
  </conditionalFormatting>
  <conditionalFormatting sqref="H21">
    <cfRule type="expression" priority="6" aboveAverage="0" equalAverage="0" bottom="0" percent="0" rank="0" text="" dxfId="2">
      <formula>AND(ISNUMBER(H21),H21*H$7&gt;0)</formula>
    </cfRule>
    <cfRule type="expression" priority="7" aboveAverage="0" equalAverage="0" bottom="0" percent="0" rank="0" text="" dxfId="3">
      <formula>AND(ISNUMBER(H21),H21*H$7&lt;0)</formula>
    </cfRule>
  </conditionalFormatting>
  <conditionalFormatting sqref="I21">
    <cfRule type="expression" priority="8" aboveAverage="0" equalAverage="0" bottom="0" percent="0" rank="0" text="" dxfId="2">
      <formula>AND(ISNUMBER(I21),I21*I$7&gt;0)</formula>
    </cfRule>
    <cfRule type="expression" priority="9" aboveAverage="0" equalAverage="0" bottom="0" percent="0" rank="0" text="" dxfId="3">
      <formula>AND(ISNUMBER(I21),I21*I$7&lt;0)</formula>
    </cfRule>
  </conditionalFormatting>
  <conditionalFormatting sqref="J21">
    <cfRule type="expression" priority="10" aboveAverage="0" equalAverage="0" bottom="0" percent="0" rank="0" text="" dxfId="2">
      <formula>AND(ISNUMBER(J21),J21*J$7&gt;0)</formula>
    </cfRule>
    <cfRule type="expression" priority="11" aboveAverage="0" equalAverage="0" bottom="0" percent="0" rank="0" text="" dxfId="3">
      <formula>AND(ISNUMBER(J21),J21*J$7&lt;0)</formula>
    </cfRule>
  </conditionalFormatting>
  <conditionalFormatting sqref="K21">
    <cfRule type="expression" priority="12" aboveAverage="0" equalAverage="0" bottom="0" percent="0" rank="0" text="" dxfId="2">
      <formula>AND(ISNUMBER(K21),K21*K$7&gt;0)</formula>
    </cfRule>
    <cfRule type="expression" priority="13" aboveAverage="0" equalAverage="0" bottom="0" percent="0" rank="0" text="" dxfId="3">
      <formula>AND(ISNUMBER(K21),K21*K$7&lt;0)</formula>
    </cfRule>
  </conditionalFormatting>
  <conditionalFormatting sqref="L21">
    <cfRule type="expression" priority="14" aboveAverage="0" equalAverage="0" bottom="0" percent="0" rank="0" text="" dxfId="2">
      <formula>AND(ISNUMBER(L21),L21*L$7&gt;0)</formula>
    </cfRule>
    <cfRule type="expression" priority="15" aboveAverage="0" equalAverage="0" bottom="0" percent="0" rank="0" text="" dxfId="3">
      <formula>AND(ISNUMBER(L21),L21*L$7&lt;0)</formula>
    </cfRule>
  </conditionalFormatting>
  <conditionalFormatting sqref="M21">
    <cfRule type="expression" priority="16" aboveAverage="0" equalAverage="0" bottom="0" percent="0" rank="0" text="" dxfId="2">
      <formula>AND(ISNUMBER(M21),M21*M$7&gt;0)</formula>
    </cfRule>
    <cfRule type="expression" priority="17" aboveAverage="0" equalAverage="0" bottom="0" percent="0" rank="0" text="" dxfId="3">
      <formula>AND(ISNUMBER(M21),M21*M$7&lt;0)</formula>
    </cfRule>
  </conditionalFormatting>
  <conditionalFormatting sqref="N21">
    <cfRule type="expression" priority="18" aboveAverage="0" equalAverage="0" bottom="0" percent="0" rank="0" text="" dxfId="2">
      <formula>AND(ISNUMBER(N21),N21*N$7&gt;0)</formula>
    </cfRule>
    <cfRule type="expression" priority="19" aboveAverage="0" equalAverage="0" bottom="0" percent="0" rank="0" text="" dxfId="3">
      <formula>AND(ISNUMBER(N21),N21*N$7&lt;0)</formula>
    </cfRule>
  </conditionalFormatting>
  <conditionalFormatting sqref="O21">
    <cfRule type="expression" priority="20" aboveAverage="0" equalAverage="0" bottom="0" percent="0" rank="0" text="" dxfId="2">
      <formula>AND(ISNUMBER(O21),O21*O$7&gt;0)</formula>
    </cfRule>
    <cfRule type="expression" priority="21" aboveAverage="0" equalAverage="0" bottom="0" percent="0" rank="0" text="" dxfId="3">
      <formula>AND(ISNUMBER(O21),O21*O$7&lt;0)</formula>
    </cfRule>
  </conditionalFormatting>
  <conditionalFormatting sqref="P21">
    <cfRule type="expression" priority="22" aboveAverage="0" equalAverage="0" bottom="0" percent="0" rank="0" text="" dxfId="2">
      <formula>AND(ISNUMBER(P21),P21*P$7&gt;0)</formula>
    </cfRule>
    <cfRule type="expression" priority="23" aboveAverage="0" equalAverage="0" bottom="0" percent="0" rank="0" text="" dxfId="3">
      <formula>AND(ISNUMBER(P21),P21*P$7&lt;0)</formula>
    </cfRule>
  </conditionalFormatting>
  <conditionalFormatting sqref="Q21">
    <cfRule type="expression" priority="24" aboveAverage="0" equalAverage="0" bottom="0" percent="0" rank="0" text="" dxfId="2">
      <formula>AND(ISNUMBER(Q21),Q21*Q$7&gt;0)</formula>
    </cfRule>
    <cfRule type="expression" priority="25" aboveAverage="0" equalAverage="0" bottom="0" percent="0" rank="0" text="" dxfId="3">
      <formula>AND(ISNUMBER(Q21),Q21*Q$7&lt;0)</formula>
    </cfRule>
  </conditionalFormatting>
  <conditionalFormatting sqref="R21">
    <cfRule type="expression" priority="26" aboveAverage="0" equalAverage="0" bottom="0" percent="0" rank="0" text="" dxfId="2">
      <formula>AND(ISNUMBER(R21),R21*R$7&gt;0)</formula>
    </cfRule>
    <cfRule type="expression" priority="27" aboveAverage="0" equalAverage="0" bottom="0" percent="0" rank="0" text="" dxfId="3">
      <formula>AND(ISNUMBER(R21),R21*R$7&lt;0)</formula>
    </cfRule>
  </conditionalFormatting>
  <conditionalFormatting sqref="S21">
    <cfRule type="expression" priority="28" aboveAverage="0" equalAverage="0" bottom="0" percent="0" rank="0" text="" dxfId="2">
      <formula>AND(ISNUMBER(S21),S21*S$7&gt;0)</formula>
    </cfRule>
    <cfRule type="expression" priority="29" aboveAverage="0" equalAverage="0" bottom="0" percent="0" rank="0" text="" dxfId="3">
      <formula>AND(ISNUMBER(S21),S21*S$7&lt;0)</formula>
    </cfRule>
  </conditionalFormatting>
  <conditionalFormatting sqref="T21">
    <cfRule type="expression" priority="30" aboveAverage="0" equalAverage="0" bottom="0" percent="0" rank="0" text="" dxfId="2">
      <formula>AND(ISNUMBER(T21),T21*T$7&gt;0)</formula>
    </cfRule>
    <cfRule type="expression" priority="31" aboveAverage="0" equalAverage="0" bottom="0" percent="0" rank="0" text="" dxfId="3">
      <formula>AND(ISNUMBER(T21),T21*T$7&lt;0)</formula>
    </cfRule>
  </conditionalFormatting>
  <conditionalFormatting sqref="U21">
    <cfRule type="expression" priority="32" aboveAverage="0" equalAverage="0" bottom="0" percent="0" rank="0" text="" dxfId="2">
      <formula>AND(ISNUMBER(U21),U21*U$7&gt;0)</formula>
    </cfRule>
    <cfRule type="expression" priority="33" aboveAverage="0" equalAverage="0" bottom="0" percent="0" rank="0" text="" dxfId="3">
      <formula>AND(ISNUMBER(U21),U21*U$7&lt;0)</formula>
    </cfRule>
  </conditionalFormatting>
  <conditionalFormatting sqref="V21">
    <cfRule type="expression" priority="34" aboveAverage="0" equalAverage="0" bottom="0" percent="0" rank="0" text="" dxfId="2">
      <formula>AND(ISNUMBER(V21),V21*V$7&gt;0)</formula>
    </cfRule>
    <cfRule type="expression" priority="35" aboveAverage="0" equalAverage="0" bottom="0" percent="0" rank="0" text="" dxfId="3">
      <formula>AND(ISNUMBER(V21),V21*V$7&lt;0)</formula>
    </cfRule>
  </conditionalFormatting>
  <conditionalFormatting sqref="W21">
    <cfRule type="expression" priority="36" aboveAverage="0" equalAverage="0" bottom="0" percent="0" rank="0" text="" dxfId="2">
      <formula>AND(ISNUMBER(W21),W21*W$7&gt;0)</formula>
    </cfRule>
    <cfRule type="expression" priority="37" aboveAverage="0" equalAverage="0" bottom="0" percent="0" rank="0" text="" dxfId="3">
      <formula>AND(ISNUMBER(W21),W21*W$7&lt;0)</formula>
    </cfRule>
  </conditionalFormatting>
  <conditionalFormatting sqref="Y21">
    <cfRule type="expression" priority="38" aboveAverage="0" equalAverage="0" bottom="0" percent="0" rank="0" text="" dxfId="2">
      <formula>AND(ISNUMBER(Y21),Y21*Y$7&gt;0)</formula>
    </cfRule>
    <cfRule type="expression" priority="39" aboveAverage="0" equalAverage="0" bottom="0" percent="0" rank="0" text="" dxfId="3">
      <formula>AND(ISNUMBER(Y21),Y21*Y$7&lt;0)</formula>
    </cfRule>
  </conditionalFormatting>
  <conditionalFormatting sqref="Z21">
    <cfRule type="expression" priority="40" aboveAverage="0" equalAverage="0" bottom="0" percent="0" rank="0" text="" dxfId="2">
      <formula>AND(ISNUMBER(Z21),Z21*Z$7&gt;0)</formula>
    </cfRule>
    <cfRule type="expression" priority="41" aboveAverage="0" equalAverage="0" bottom="0" percent="0" rank="0" text="" dxfId="3">
      <formula>AND(ISNUMBER(Z21),Z21*Z$7&lt;0)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25" min="4" style="0" width="13.5"/>
  </cols>
  <sheetData>
    <row r="1" customFormat="false" ht="18.55" hidden="false" customHeight="false" outlineLevel="0" collapsed="false">
      <c r="A1" s="5" t="s">
        <v>98</v>
      </c>
    </row>
    <row r="2" customFormat="false" ht="15" hidden="false" customHeight="false" outlineLevel="0" collapsed="false">
      <c r="A2" s="6" t="s">
        <v>99</v>
      </c>
    </row>
    <row r="3" customFormat="false" ht="15" hidden="false" customHeight="false" outlineLevel="0" collapsed="false">
      <c r="A3" s="6" t="s">
        <v>58</v>
      </c>
    </row>
    <row r="5" customFormat="false" ht="15" hidden="false" customHeight="true" outlineLevel="0" collapsed="false">
      <c r="D5" s="17" t="s">
        <v>59</v>
      </c>
      <c r="E5" s="17"/>
      <c r="F5" s="17" t="s">
        <v>60</v>
      </c>
      <c r="G5" s="17"/>
      <c r="H5" s="17" t="s">
        <v>61</v>
      </c>
      <c r="I5" s="17"/>
      <c r="J5" s="17"/>
      <c r="K5" s="17"/>
      <c r="L5" s="17" t="s">
        <v>62</v>
      </c>
      <c r="M5" s="17"/>
      <c r="N5" s="17"/>
      <c r="O5" s="17"/>
      <c r="P5" s="17" t="s">
        <v>63</v>
      </c>
      <c r="Q5" s="17"/>
      <c r="R5" s="17"/>
      <c r="S5" s="17"/>
      <c r="T5" s="17"/>
      <c r="U5" s="17" t="s">
        <v>64</v>
      </c>
      <c r="V5" s="17"/>
      <c r="W5" s="17"/>
      <c r="X5" s="17"/>
      <c r="Y5" s="17"/>
    </row>
    <row r="6" customFormat="false" ht="55.5" hidden="false" customHeight="true" outlineLevel="0" collapsed="false">
      <c r="A6" s="7" t="s">
        <v>31</v>
      </c>
      <c r="B6" s="7" t="s">
        <v>65</v>
      </c>
      <c r="C6" s="7" t="s">
        <v>66</v>
      </c>
      <c r="D6" s="7" t="s">
        <v>67</v>
      </c>
      <c r="E6" s="7" t="s">
        <v>68</v>
      </c>
      <c r="F6" s="7" t="s">
        <v>39</v>
      </c>
      <c r="G6" s="7" t="s">
        <v>69</v>
      </c>
      <c r="H6" s="7" t="s">
        <v>70</v>
      </c>
      <c r="I6" s="7" t="s">
        <v>40</v>
      </c>
      <c r="J6" s="7" t="s">
        <v>72</v>
      </c>
      <c r="K6" s="7" t="s">
        <v>41</v>
      </c>
      <c r="L6" s="7" t="s">
        <v>43</v>
      </c>
      <c r="M6" s="7" t="s">
        <v>42</v>
      </c>
      <c r="N6" s="7" t="s">
        <v>73</v>
      </c>
      <c r="O6" s="7" t="s">
        <v>74</v>
      </c>
      <c r="P6" s="7" t="s">
        <v>75</v>
      </c>
      <c r="Q6" s="7" t="s">
        <v>76</v>
      </c>
      <c r="R6" s="7" t="s">
        <v>44</v>
      </c>
      <c r="S6" s="7" t="s">
        <v>45</v>
      </c>
      <c r="T6" s="7" t="s">
        <v>77</v>
      </c>
      <c r="U6" s="7" t="s">
        <v>78</v>
      </c>
      <c r="V6" s="7" t="s">
        <v>46</v>
      </c>
      <c r="W6" s="7" t="s">
        <v>79</v>
      </c>
      <c r="X6" s="7" t="s">
        <v>47</v>
      </c>
      <c r="Y6" s="7" t="s">
        <v>80</v>
      </c>
    </row>
    <row r="7" customFormat="false" ht="15" hidden="false" customHeight="false" outlineLevel="0" collapsed="false">
      <c r="A7" s="6" t="s">
        <v>81</v>
      </c>
      <c r="D7" s="18" t="n">
        <v>0</v>
      </c>
      <c r="E7" s="18" t="n">
        <v>0</v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-1</v>
      </c>
      <c r="Q7" s="18" t="n">
        <v>-1</v>
      </c>
      <c r="R7" s="18" t="n">
        <v>-1</v>
      </c>
      <c r="S7" s="18" t="n">
        <v>1</v>
      </c>
      <c r="T7" s="18" t="n">
        <v>1</v>
      </c>
      <c r="U7" s="18" t="n">
        <v>1</v>
      </c>
      <c r="V7" s="18" t="n">
        <v>1</v>
      </c>
      <c r="W7" s="18" t="n">
        <v>0</v>
      </c>
      <c r="X7" s="18" t="n">
        <v>1</v>
      </c>
      <c r="Y7" s="18" t="n">
        <v>1</v>
      </c>
    </row>
    <row r="8" customFormat="false" ht="15" hidden="false" customHeight="false" outlineLevel="0" collapsed="false">
      <c r="A8" s="19" t="s">
        <v>48</v>
      </c>
      <c r="B8" s="20" t="s">
        <v>100</v>
      </c>
      <c r="C8" s="20" t="s">
        <v>101</v>
      </c>
      <c r="D8" s="21" t="n">
        <f aca="false">Data!$I$11/Data!$H$11/1000</f>
        <v>16.999</v>
      </c>
      <c r="E8" s="21" t="n">
        <f aca="false">Data!$S$11/Data!$H$11/1000</f>
        <v>30.799</v>
      </c>
      <c r="F8" s="22" t="n">
        <f aca="false">IFERROR(Data!$I$11/Data!$AD$11-1,"n/a")</f>
        <v>0.00106000824450847</v>
      </c>
      <c r="G8" s="22" t="n">
        <f aca="false">IFERROR(IF(Data!$AI$11&lt;=0,"n.m.",Data!$N$11/Data!$AI$11-1),"n/a")</f>
        <v>-0.0807155322862129</v>
      </c>
      <c r="H8" s="22" t="n">
        <f aca="false">IF(Data!$K$11="","n/a",Data!$K$11/Data!$I$11)</f>
        <v>0.395199717630449</v>
      </c>
      <c r="I8" s="22" t="n">
        <f aca="false">IFERROR(Data!$N$11/Data!$I$11,"n/a")</f>
        <v>0.123948467556915</v>
      </c>
      <c r="J8" s="22" t="n">
        <f aca="false">IFERROR(Data!$L$11/Data!$I$11,"n/a")</f>
        <v>0.0722983704923819</v>
      </c>
      <c r="K8" s="22" t="n">
        <f aca="false">IFERROR(Data!$Q$11/Data!$I$11,"n/a")</f>
        <v>-0.00894170245308548</v>
      </c>
      <c r="L8" s="22" t="n">
        <f aca="false">IFERROR(Data!$N$11/AVERAGE(Data!$S$11,Data!$AN$11),"n/a")</f>
        <v>0.0699488745767213</v>
      </c>
      <c r="M8" s="22" t="n">
        <f aca="false">IFERROR(Data!$Q$11/AVERAGE(Data!$U$11,Data!$AP$11),"n/a")</f>
        <v>-0.0207536865101038</v>
      </c>
      <c r="N8" s="22" t="n">
        <f aca="false">IFERROR(Data!$Q$11/AVERAGE(Data!$S$11,Data!$AN$11),"n/a")</f>
        <v>-0.00504614567425802</v>
      </c>
      <c r="O8" s="23" t="n">
        <f aca="false">IFERROR(Data!$I$11/AVERAGE(Data!$S$11,Data!$AN$11),"n/a")</f>
        <v>0.56433835734679</v>
      </c>
      <c r="P8" s="22" t="n">
        <f aca="false">IFERROR(Data!$T$11/Data!$S$11,"n/a")</f>
        <v>0.760154550472418</v>
      </c>
      <c r="Q8" s="22" t="n">
        <f aca="false">IFERROR(Data!$Z$11/Data!$U$11,"n/a")</f>
        <v>1.42561256260999</v>
      </c>
      <c r="R8" s="23" t="n">
        <f aca="false">IFERROR(IF(Data!$N$11&lt;=0,"n.m.",(Data!$Z$11-Data!$W$11)/Data!$N$11),"n/a")</f>
        <v>4.67679164689131</v>
      </c>
      <c r="S8" s="24" t="n">
        <f aca="false">IFERROR(IF(Data!$O$11&lt;=0,"n/a",Data!$L$11/Data!$O$11),"n/a")</f>
        <v>1.58785529715762</v>
      </c>
      <c r="T8" s="23" t="n">
        <f aca="false">IFERROR(Data!$X$11/Data!$Y$11,"n/a")</f>
        <v>1.05965061780997</v>
      </c>
      <c r="U8" s="22" t="n">
        <f aca="false">IFERROR(Data!$AA$11/Data!$I$11,"n/a")</f>
        <v>0.0897699864697923</v>
      </c>
      <c r="V8" s="22" t="n">
        <f aca="false">IFERROR(IF(Data!$N$11&lt;=0,"n.m.",Data!$AA$11/Data!$N$11),"n/a")</f>
        <v>0.724252491694352</v>
      </c>
      <c r="W8" s="22" t="n">
        <f aca="false">IFERROR(Data!$AB$11/Data!$I$11,"n/a")</f>
        <v>0.0715924466145067</v>
      </c>
      <c r="X8" s="22" t="n">
        <f aca="false">IFERROR((Data!$AA$11-Data!$AB$11)/Data!$I$11,"n/a")</f>
        <v>0.0181775398552856</v>
      </c>
      <c r="Y8" s="25" t="n">
        <f aca="false">(Data!$AA$11-Data!$AB$11)/Data!$H$11/1000</f>
        <v>0.309</v>
      </c>
    </row>
    <row r="9" customFormat="false" ht="15" hidden="false" customHeight="false" outlineLevel="0" collapsed="false">
      <c r="A9" s="19" t="s">
        <v>50</v>
      </c>
      <c r="B9" s="20" t="s">
        <v>102</v>
      </c>
      <c r="C9" s="20" t="s">
        <v>83</v>
      </c>
      <c r="D9" s="21" t="n">
        <f aca="false">Data!$I$12/Data!$H$12/1000</f>
        <v>4.06011867022023</v>
      </c>
      <c r="E9" s="21" t="n">
        <f aca="false">Data!$S$12/Data!$H$12/1000</f>
        <v>6.79814307757049</v>
      </c>
      <c r="F9" s="22" t="n">
        <f aca="false">IFERROR(Data!$I$12/Data!$AD$12-1,"n/a")</f>
        <v>-0.0184298410277846</v>
      </c>
      <c r="G9" s="22" t="n">
        <f aca="false">IFERROR(IF(Data!$AI$12&lt;=0,"n.m.",Data!$N$12/Data!$AI$12-1),"n/a")</f>
        <v>0.961353086808413</v>
      </c>
      <c r="H9" s="22" t="n">
        <f aca="false">IF(Data!$K$12="","n/a",Data!$K$12/Data!$I$12)</f>
        <v>0.263356090151022</v>
      </c>
      <c r="I9" s="22" t="n">
        <f aca="false">IFERROR(Data!$N$12/Data!$I$12,"n/a")</f>
        <v>0.118815380534377</v>
      </c>
      <c r="J9" s="22" t="n">
        <f aca="false">IFERROR(Data!$L$12/Data!$I$12,"n/a")</f>
        <v>0.0461339816710455</v>
      </c>
      <c r="K9" s="22" t="n">
        <f aca="false">IFERROR(Data!$Q$12/Data!$I$12,"n/a")</f>
        <v>-0.0361283108350557</v>
      </c>
      <c r="L9" s="22" t="n">
        <f aca="false">IFERROR(Data!$N$12/AVERAGE(Data!$S$12,Data!$AN$12),"n/a")</f>
        <v>0.0698118450417315</v>
      </c>
      <c r="M9" s="22" t="n">
        <f aca="false">IFERROR(Data!$Q$12/AVERAGE(Data!$U$12,Data!$AP$12),"n/a")</f>
        <v>-0.0571954345122259</v>
      </c>
      <c r="N9" s="22" t="n">
        <f aca="false">IFERROR(Data!$Q$12/AVERAGE(Data!$S$12,Data!$AN$12),"n/a")</f>
        <v>-0.0212277570992307</v>
      </c>
      <c r="O9" s="23" t="n">
        <f aca="false">IFERROR(Data!$I$12/AVERAGE(Data!$S$12,Data!$AN$12),"n/a")</f>
        <v>0.587565723627277</v>
      </c>
      <c r="P9" s="22" t="n">
        <f aca="false">IFERROR(Data!$T$12/Data!$S$12,"n/a")</f>
        <v>0.637350615288119</v>
      </c>
      <c r="Q9" s="22" t="n">
        <f aca="false">IFERROR(Data!$Z$12/Data!$U$12,"n/a")</f>
        <v>1.00434612509535</v>
      </c>
      <c r="R9" s="23" t="n">
        <f aca="false">IFERROR(IF(Data!$N$12&lt;=0,"n.m.",(Data!$Z$12-Data!$W$12)/Data!$N$12),"n/a")</f>
        <v>4.12947222236761</v>
      </c>
      <c r="S9" s="24" t="n">
        <f aca="false">IFERROR(IF(Data!$O$12&lt;=0,"n/a",Data!$L$12/Data!$O$12),"n/a")</f>
        <v>1.30744255768709</v>
      </c>
      <c r="T9" s="23" t="n">
        <f aca="false">IFERROR(Data!$X$12/Data!$Y$12,"n/a")</f>
        <v>1.14185231218171</v>
      </c>
      <c r="U9" s="22" t="n">
        <f aca="false">IFERROR(Data!$AA$12/Data!$I$12,"n/a")</f>
        <v>0.139877385014248</v>
      </c>
      <c r="V9" s="22" t="n">
        <f aca="false">IFERROR(IF(Data!$N$12&lt;=0,"n.m.",Data!$AA$12/Data!$N$12),"n/a")</f>
        <v>1.17726665003422</v>
      </c>
      <c r="W9" s="22" t="n">
        <f aca="false">IFERROR(Data!$AB$12/Data!$I$12,"n/a")</f>
        <v>0.0419304667200975</v>
      </c>
      <c r="X9" s="22" t="n">
        <f aca="false">IFERROR((Data!$AA$12-Data!$AB$12)/Data!$I$12,"n/a")</f>
        <v>0.0979469182941501</v>
      </c>
      <c r="Y9" s="25" t="n">
        <f aca="false">(Data!$AA$12-Data!$AB$12)/Data!$H$12/1000</f>
        <v>0.397676111656614</v>
      </c>
    </row>
    <row r="10" customFormat="false" ht="15" hidden="false" customHeight="false" outlineLevel="0" collapsed="false">
      <c r="A10" s="19" t="s">
        <v>51</v>
      </c>
      <c r="B10" s="20" t="s">
        <v>103</v>
      </c>
      <c r="C10" s="20" t="s">
        <v>83</v>
      </c>
      <c r="D10" s="21" t="n">
        <f aca="false">Data!$I$13/Data!$H$13/1000</f>
        <v>1.66509019497826</v>
      </c>
      <c r="E10" s="21" t="n">
        <f aca="false">Data!$S$13/Data!$H$13/1000</f>
        <v>2.55106129891991</v>
      </c>
      <c r="F10" s="22" t="n">
        <f aca="false">IFERROR(Data!$I$13/Data!$AD$13-1,"n/a")</f>
        <v>0.137583730858352</v>
      </c>
      <c r="G10" s="22" t="n">
        <f aca="false">IFERROR(IF(Data!$AI$13&lt;=0,"n.m.",Data!$N$13/Data!$AI$13-1),"n/a")</f>
        <v>0.480754056510724</v>
      </c>
      <c r="H10" s="22" t="n">
        <f aca="false">IF(Data!$K$13="","n/a",Data!$K$13/Data!$I$13)</f>
        <v>0.219921050866911</v>
      </c>
      <c r="I10" s="22" t="n">
        <f aca="false">IFERROR(Data!$N$13/Data!$I$13,"n/a")</f>
        <v>0.258003670971257</v>
      </c>
      <c r="J10" s="22" t="n">
        <f aca="false">IFERROR(Data!$L$13/Data!$I$13,"n/a")</f>
        <v>0.12301426705086</v>
      </c>
      <c r="K10" s="22" t="n">
        <f aca="false">IFERROR(Data!$Q$13/Data!$I$13,"n/a")</f>
        <v>0.108385645403856</v>
      </c>
      <c r="L10" s="22" t="n">
        <f aca="false">IFERROR(Data!$N$13/AVERAGE(Data!$S$13,Data!$AN$13),"n/a")</f>
        <v>0.170850769458118</v>
      </c>
      <c r="M10" s="22" t="n">
        <f aca="false">IFERROR(Data!$Q$13/AVERAGE(Data!$U$13,Data!$AP$13),"n/a")</f>
        <v>0.116873703112485</v>
      </c>
      <c r="N10" s="22" t="n">
        <f aca="false">IFERROR(Data!$Q$13/AVERAGE(Data!$S$13,Data!$AN$13),"n/a")</f>
        <v>0.07177328464263</v>
      </c>
      <c r="O10" s="23" t="n">
        <f aca="false">IFERROR(Data!$I$13/AVERAGE(Data!$S$13,Data!$AN$13),"n/a")</f>
        <v>0.662202862521099</v>
      </c>
      <c r="P10" s="22" t="n">
        <f aca="false">IFERROR(Data!$T$13/Data!$S$13,"n/a")</f>
        <v>0.369088174997344</v>
      </c>
      <c r="Q10" s="22" t="n">
        <f aca="false">IFERROR(Data!$Z$13/Data!$U$13,"n/a")</f>
        <v>0.0793831283148604</v>
      </c>
      <c r="R10" s="23" t="n">
        <f aca="false">IFERROR(IF(Data!$N$13&lt;=0,"n.m.",(Data!$Z$13-Data!$W$13)/Data!$N$13),"n/a")</f>
        <v>-0.137384273695608</v>
      </c>
      <c r="S10" s="24" t="n">
        <f aca="false">IFERROR(IF(Data!$O$13&lt;=0,"n/a",Data!$L$13/Data!$O$13),"n/a")</f>
        <v>35.2823833570928</v>
      </c>
      <c r="T10" s="23" t="n">
        <f aca="false">IFERROR(Data!$X$13/Data!$Y$13,"n/a")</f>
        <v>1.3782997497581</v>
      </c>
      <c r="U10" s="22" t="n">
        <f aca="false">IFERROR(Data!$AA$13/Data!$I$13,"n/a")</f>
        <v>0.186743814123636</v>
      </c>
      <c r="V10" s="22" t="n">
        <f aca="false">IFERROR(IF(Data!$N$13&lt;=0,"n.m.",Data!$AA$13/Data!$N$13),"n/a")</f>
        <v>0.723802934356076</v>
      </c>
      <c r="W10" s="22" t="n">
        <f aca="false">IFERROR(Data!$AB$13/Data!$I$13,"n/a")</f>
        <v>0.0809851169646116</v>
      </c>
      <c r="X10" s="22" t="n">
        <f aca="false">IFERROR((Data!$AA$13-Data!$AB$13)/Data!$I$13,"n/a")</f>
        <v>0.105758697159024</v>
      </c>
      <c r="Y10" s="25" t="n">
        <f aca="false">(Data!$AA$13-Data!$AB$13)/Data!$H$13/1000</f>
        <v>0.176097769673166</v>
      </c>
    </row>
    <row r="11" customFormat="false" ht="15" hidden="false" customHeight="false" outlineLevel="0" collapsed="false">
      <c r="A11" s="19" t="s">
        <v>52</v>
      </c>
      <c r="B11" s="20" t="s">
        <v>104</v>
      </c>
      <c r="C11" s="20" t="s">
        <v>83</v>
      </c>
      <c r="D11" s="21" t="n">
        <f aca="false">Data!$I$14/Data!$H$14/1000</f>
        <v>3.2631652405667</v>
      </c>
      <c r="E11" s="21" t="n">
        <f aca="false">Data!$S$14/Data!$H$14/1000</f>
        <v>3.3087880488147</v>
      </c>
      <c r="F11" s="22" t="n">
        <f aca="false">IFERROR(Data!$I$14/Data!$AD$14-1,"n/a")</f>
        <v>0.0939696552819032</v>
      </c>
      <c r="G11" s="22" t="n">
        <f aca="false">IFERROR(IF(Data!$AI$14&lt;=0,"n.m.",Data!$N$14/Data!$AI$14-1),"n/a")</f>
        <v>0.305842668099799</v>
      </c>
      <c r="H11" s="22" t="n">
        <f aca="false">IF(Data!$K$14="","n/a",Data!$K$14/Data!$I$14)</f>
        <v>0.124373680985406</v>
      </c>
      <c r="I11" s="22" t="n">
        <f aca="false">IFERROR(Data!$N$14/Data!$I$14,"n/a")</f>
        <v>0.0853350831713995</v>
      </c>
      <c r="J11" s="22" t="n">
        <f aca="false">IFERROR(Data!$L$14/Data!$I$14,"n/a")</f>
        <v>0.0643948862372413</v>
      </c>
      <c r="K11" s="22" t="n">
        <f aca="false">IFERROR(Data!$Q$14/Data!$I$14,"n/a")</f>
        <v>0.054734911784132</v>
      </c>
      <c r="L11" s="22" t="n">
        <f aca="false">IFERROR(Data!$N$14/AVERAGE(Data!$S$14,Data!$AN$14),"n/a")</f>
        <v>0.0882183772558265</v>
      </c>
      <c r="M11" s="22" t="n">
        <f aca="false">IFERROR(Data!$Q$14/AVERAGE(Data!$U$14,Data!$AP$14),"n/a")</f>
        <v>0.11528546145163</v>
      </c>
      <c r="N11" s="22" t="n">
        <f aca="false">IFERROR(Data!$Q$14/AVERAGE(Data!$S$14,Data!$AN$14),"n/a")</f>
        <v>0.0565842900409252</v>
      </c>
      <c r="O11" s="23" t="n">
        <f aca="false">IFERROR(Data!$I$14/AVERAGE(Data!$S$14,Data!$AN$14),"n/a")</f>
        <v>1.03378790969988</v>
      </c>
      <c r="P11" s="22" t="n">
        <f aca="false">IFERROR(Data!$T$14/Data!$S$14,"n/a")</f>
        <v>0.514401516002603</v>
      </c>
      <c r="Q11" s="22" t="n">
        <f aca="false">IFERROR(Data!$Z$14/Data!$U$14,"n/a")</f>
        <v>0.131588750484855</v>
      </c>
      <c r="R11" s="23" t="n">
        <f aca="false">IFERROR(IF(Data!$N$14&lt;=0,"n.m.",(Data!$Z$14-Data!$W$14)/Data!$N$14),"n/a")</f>
        <v>-0.715819740383516</v>
      </c>
      <c r="S11" s="24" t="n">
        <f aca="false">IFERROR(IF(Data!$O$14&lt;=0,"n/a",Data!$L$14/Data!$O$14),"n/a")</f>
        <v>33.2281569549498</v>
      </c>
      <c r="T11" s="23" t="n">
        <f aca="false">IFERROR(Data!$X$14/Data!$Y$14,"n/a")</f>
        <v>1.23787620409819</v>
      </c>
      <c r="U11" s="22" t="n">
        <f aca="false">IFERROR(Data!$AA$14/Data!$I$14,"n/a")</f>
        <v>0.0857058849194895</v>
      </c>
      <c r="V11" s="22" t="n">
        <f aca="false">IFERROR(IF(Data!$N$14&lt;=0,"n.m.",Data!$AA$14/Data!$N$14),"n/a")</f>
        <v>1.00434524388223</v>
      </c>
      <c r="W11" s="22" t="n">
        <f aca="false">IFERROR(Data!$AB$14/Data!$I$14,"n/a")</f>
        <v>0.0147514701928225</v>
      </c>
      <c r="X11" s="22" t="n">
        <f aca="false">IFERROR((Data!$AA$14-Data!$AB$14)/Data!$I$14,"n/a")</f>
        <v>0.070954414726667</v>
      </c>
      <c r="Y11" s="25" t="n">
        <f aca="false">(Data!$AA$14-Data!$AB$14)/Data!$H$14/1000</f>
        <v>0.231535979800814</v>
      </c>
    </row>
    <row r="12" customFormat="false" ht="15" hidden="false" customHeight="false" outlineLevel="0" collapsed="false">
      <c r="A12" s="10" t="s">
        <v>105</v>
      </c>
      <c r="B12" s="10" t="s">
        <v>106</v>
      </c>
      <c r="C12" s="10" t="s">
        <v>101</v>
      </c>
      <c r="D12" s="26" t="n">
        <f aca="false">Data!$I$15/Data!$H$15/1000</f>
        <v>17.401</v>
      </c>
      <c r="E12" s="26" t="n">
        <f aca="false">Data!$S$15/Data!$H$15/1000</f>
        <v>42.845</v>
      </c>
      <c r="F12" s="11" t="n">
        <f aca="false">IFERROR(Data!$I$15/Data!$AD$15-1,"n/a")</f>
        <v>0.0291577951265674</v>
      </c>
      <c r="G12" s="11" t="n">
        <f aca="false">IFERROR(IF(Data!$AI$15&lt;=0,"n.m.",Data!$N$15/Data!$AI$15-1),"n/a")</f>
        <v>0.122851919561243</v>
      </c>
      <c r="H12" s="11" t="n">
        <f aca="false">IF(Data!$K$15="","n/a",Data!$K$15/Data!$I$15)</f>
        <v>0.472903856100224</v>
      </c>
      <c r="I12" s="11" t="n">
        <f aca="false">IFERROR(Data!$N$15/Data!$I$15,"n/a")</f>
        <v>0.176484110108614</v>
      </c>
      <c r="J12" s="11" t="n">
        <f aca="false">IFERROR(Data!$L$15/Data!$I$15,"n/a")</f>
        <v>0.107350152290098</v>
      </c>
      <c r="K12" s="11" t="n">
        <f aca="false">IFERROR(Data!$Q$15/Data!$I$15,"n/a")</f>
        <v>0.0635020975805988</v>
      </c>
      <c r="L12" s="11" t="n">
        <f aca="false">IFERROR(Data!$N$15/AVERAGE(Data!$S$15,Data!$AN$15),"n/a")</f>
        <v>0.0734074339667742</v>
      </c>
      <c r="M12" s="11" t="n">
        <f aca="false">IFERROR(Data!$Q$15/AVERAGE(Data!$U$15,Data!$AP$15),"n/a")</f>
        <v>0.0456460674157303</v>
      </c>
      <c r="N12" s="11" t="n">
        <f aca="false">IFERROR(Data!$Q$15/AVERAGE(Data!$S$15,Data!$AN$15),"n/a")</f>
        <v>0.0264132903071591</v>
      </c>
      <c r="O12" s="15" t="n">
        <f aca="false">IFERROR(Data!$I$15/AVERAGE(Data!$S$15,Data!$AN$15),"n/a")</f>
        <v>0.415943587904864</v>
      </c>
      <c r="P12" s="11" t="n">
        <f aca="false">IFERROR(Data!$T$15/Data!$S$15,"n/a")</f>
        <v>0.430832069086241</v>
      </c>
      <c r="Q12" s="11" t="n">
        <f aca="false">IFERROR(Data!$Z$15/Data!$U$15,"n/a")</f>
        <v>0.105798408923153</v>
      </c>
      <c r="R12" s="15" t="n">
        <f aca="false">IFERROR(IF(Data!$N$15&lt;=0,"n.m.",(Data!$Z$15-Data!$W$15)/Data!$N$15),"n/a")</f>
        <v>-0.632041680234451</v>
      </c>
      <c r="S12" s="16" t="n">
        <f aca="false">IFERROR(IF(Data!$O$15&lt;=0,"n/a",Data!$L$15/Data!$O$15),"n/a")</f>
        <v>10.3777777777778</v>
      </c>
      <c r="T12" s="15" t="n">
        <f aca="false">IFERROR(Data!$X$15/Data!$Y$15,"n/a")</f>
        <v>1.42969072164948</v>
      </c>
      <c r="U12" s="11" t="n">
        <f aca="false">IFERROR(Data!$AA$15/Data!$I$15,"n/a")</f>
        <v>0.195735877248434</v>
      </c>
      <c r="V12" s="11" t="n">
        <f aca="false">IFERROR(IF(Data!$N$15&lt;=0,"n.m.",Data!$AA$15/Data!$N$15),"n/a")</f>
        <v>1.10908498860306</v>
      </c>
      <c r="W12" s="11" t="n">
        <f aca="false">IFERROR(Data!$AB$15/Data!$I$15,"n/a")</f>
        <v>0.0339635653123384</v>
      </c>
      <c r="X12" s="11" t="n">
        <f aca="false">IFERROR((Data!$AA$15-Data!$AB$15)/Data!$I$15,"n/a")</f>
        <v>0.161772311936096</v>
      </c>
      <c r="Y12" s="27" t="n">
        <f aca="false">(Data!$AA$15-Data!$AB$15)/Data!$H$15/1000</f>
        <v>2.815</v>
      </c>
    </row>
    <row r="13" customFormat="false" ht="15" hidden="false" customHeight="false" outlineLevel="0" collapsed="false">
      <c r="A13" s="10" t="s">
        <v>107</v>
      </c>
      <c r="B13" s="10" t="s">
        <v>106</v>
      </c>
      <c r="C13" s="10" t="s">
        <v>101</v>
      </c>
      <c r="D13" s="26" t="n">
        <f aca="false">Data!$I$16/Data!$H$16/1000</f>
        <v>3.4674</v>
      </c>
      <c r="E13" s="26" t="n">
        <f aca="false">Data!$S$16/Data!$H$16/1000</f>
        <v>9.6872</v>
      </c>
      <c r="F13" s="11" t="n">
        <f aca="false">IFERROR(Data!$I$16/Data!$AD$16-1,"n/a")</f>
        <v>-0.183391818374508</v>
      </c>
      <c r="G13" s="11" t="n">
        <f aca="false">IFERROR(IF(Data!$AI$16&lt;=0,"n.m.",Data!$N$16/Data!$AI$16-1),"n/a")</f>
        <v>-3.1304920913884</v>
      </c>
      <c r="H13" s="11" t="n">
        <f aca="false">IF(Data!$K$16="","n/a",Data!$K$16/Data!$I$16)</f>
        <v>0.370017880832901</v>
      </c>
      <c r="I13" s="11" t="n">
        <f aca="false">IFERROR(Data!$N$16/Data!$I$16,"n/a")</f>
        <v>-0.419536251946704</v>
      </c>
      <c r="J13" s="11" t="n">
        <f aca="false">IFERROR(Data!$L$16/Data!$I$16,"n/a")</f>
        <v>-0.469602584068755</v>
      </c>
      <c r="K13" s="11" t="n">
        <f aca="false">IFERROR(Data!$Q$16/Data!$I$16,"n/a")</f>
        <v>-0.645267347291919</v>
      </c>
      <c r="L13" s="11" t="n">
        <f aca="false">IFERROR(Data!$N$16/AVERAGE(Data!$S$16,Data!$AN$16),"n/a")</f>
        <v>-0.136332325859282</v>
      </c>
      <c r="M13" s="11" t="n">
        <f aca="false">IFERROR(Data!$Q$16/AVERAGE(Data!$U$16,Data!$AP$16),"n/a")</f>
        <v>-0.677209921757949</v>
      </c>
      <c r="N13" s="11" t="n">
        <f aca="false">IFERROR(Data!$Q$16/AVERAGE(Data!$S$16,Data!$AN$16),"n/a")</f>
        <v>-0.209685808673649</v>
      </c>
      <c r="O13" s="15" t="n">
        <f aca="false">IFERROR(Data!$I$16/AVERAGE(Data!$S$16,Data!$AN$16),"n/a")</f>
        <v>0.324959583889787</v>
      </c>
      <c r="P13" s="11" t="n">
        <f aca="false">IFERROR(Data!$T$16/Data!$S$16,"n/a")</f>
        <v>0.783332645139979</v>
      </c>
      <c r="Q13" s="11" t="n">
        <f aca="false">IFERROR(Data!$Z$16/Data!$U$16,"n/a")</f>
        <v>1.94144551908142</v>
      </c>
      <c r="R13" s="15" t="str">
        <f aca="false">IFERROR(IF(Data!$N$16&lt;=0,"n.m.",(Data!$Z$16-Data!$W$16)/Data!$N$16),"n/a")</f>
        <v>n.m.</v>
      </c>
      <c r="S13" s="16" t="n">
        <f aca="false">IFERROR(IF(Data!$O$16&lt;=0,"n/a",Data!$L$16/Data!$O$16),"n/a")</f>
        <v>-6.79590984974958</v>
      </c>
      <c r="T13" s="15" t="n">
        <f aca="false">IFERROR(Data!$X$16/Data!$Y$16,"n/a")</f>
        <v>1.32053364578063</v>
      </c>
      <c r="U13" s="11" t="n">
        <f aca="false">IFERROR(Data!$AA$16/Data!$I$16,"n/a")</f>
        <v>-0.00178808329007325</v>
      </c>
      <c r="V13" s="11" t="str">
        <f aca="false">IFERROR(IF(Data!$N$16&lt;=0,"n.m.",Data!$AA$16/Data!$N$16),"n/a")</f>
        <v>n.m.</v>
      </c>
      <c r="W13" s="11" t="n">
        <f aca="false">IFERROR(Data!$AB$16/Data!$I$16,"n/a")</f>
        <v>0.0277729711022668</v>
      </c>
      <c r="X13" s="11" t="n">
        <f aca="false">IFERROR((Data!$AA$16-Data!$AB$16)/Data!$I$16,"n/a")</f>
        <v>-0.0295610543923401</v>
      </c>
      <c r="Y13" s="27" t="n">
        <f aca="false">(Data!$AA$16-Data!$AB$16)/Data!$H$16/1000</f>
        <v>-0.1025</v>
      </c>
    </row>
    <row r="14" customFormat="false" ht="15" hidden="false" customHeight="false" outlineLevel="0" collapsed="false">
      <c r="A14" s="10" t="s">
        <v>108</v>
      </c>
      <c r="B14" s="10" t="s">
        <v>106</v>
      </c>
      <c r="C14" s="10" t="s">
        <v>83</v>
      </c>
      <c r="D14" s="26" t="n">
        <f aca="false">Data!$I$17/Data!$H$17/1000</f>
        <v>0.815849207462477</v>
      </c>
      <c r="E14" s="26" t="n">
        <f aca="false">Data!$S$17/Data!$H$17/1000</f>
        <v>1.3648573432459</v>
      </c>
      <c r="F14" s="11" t="n">
        <f aca="false">IFERROR(Data!$I$17/Data!$AD$17-1,"n/a")</f>
        <v>0.0708076141962823</v>
      </c>
      <c r="G14" s="11" t="n">
        <f aca="false">IFERROR(IF(Data!$AI$17&lt;=0,"n.m.",Data!$N$17/Data!$AI$17-1),"n/a")</f>
        <v>0.245540646771679</v>
      </c>
      <c r="H14" s="11" t="n">
        <f aca="false">IF(Data!$K$17="","n/a",Data!$K$17/Data!$I$17)</f>
        <v>0.173639646166932</v>
      </c>
      <c r="I14" s="11" t="n">
        <f aca="false">IFERROR(Data!$N$17/Data!$I$17,"n/a")</f>
        <v>0.158547289298886</v>
      </c>
      <c r="J14" s="11" t="n">
        <f aca="false">IFERROR(Data!$L$17/Data!$I$17,"n/a")</f>
        <v>0.116634964922907</v>
      </c>
      <c r="K14" s="11" t="n">
        <f aca="false">IFERROR(Data!$Q$17/Data!$I$17,"n/a")</f>
        <v>0.0905223334386142</v>
      </c>
      <c r="L14" s="11" t="n">
        <f aca="false">IFERROR(Data!$N$17/AVERAGE(Data!$S$17,Data!$AN$17),"n/a")</f>
        <v>0.100430992185986</v>
      </c>
      <c r="M14" s="11" t="n">
        <f aca="false">IFERROR(Data!$Q$17/AVERAGE(Data!$U$17,Data!$AP$17),"n/a")</f>
        <v>0.127589590432314</v>
      </c>
      <c r="N14" s="11" t="n">
        <f aca="false">IFERROR(Data!$Q$17/AVERAGE(Data!$S$17,Data!$AN$17),"n/a")</f>
        <v>0.0573409220834567</v>
      </c>
      <c r="O14" s="15" t="n">
        <f aca="false">IFERROR(Data!$I$17/AVERAGE(Data!$S$17,Data!$AN$17),"n/a")</f>
        <v>0.633445028483952</v>
      </c>
      <c r="P14" s="11" t="n">
        <f aca="false">IFERROR(Data!$T$17/Data!$S$17,"n/a")</f>
        <v>0.55620710975504</v>
      </c>
      <c r="Q14" s="11" t="n">
        <f aca="false">IFERROR(Data!$Z$17/Data!$U$17,"n/a")</f>
        <v>0.55742966753695</v>
      </c>
      <c r="R14" s="15" t="n">
        <f aca="false">IFERROR(IF(Data!$N$17&lt;=0,"n.m.",(Data!$Z$17-Data!$W$17)/Data!$N$17),"n/a")</f>
        <v>1.6612416105563</v>
      </c>
      <c r="S14" s="16" t="n">
        <f aca="false">IFERROR(IF(Data!$O$17&lt;=0,"n/a",Data!$L$17/Data!$O$17),"n/a")</f>
        <v>27.6942641355379</v>
      </c>
      <c r="T14" s="15" t="n">
        <f aca="false">IFERROR(Data!$X$17/Data!$Y$17,"n/a")</f>
        <v>1.01819503659315</v>
      </c>
      <c r="U14" s="11" t="n">
        <f aca="false">IFERROR(Data!$AA$17/Data!$I$17,"n/a")</f>
        <v>0.0507916781934012</v>
      </c>
      <c r="V14" s="11" t="n">
        <f aca="false">IFERROR(IF(Data!$N$17&lt;=0,"n.m.",Data!$AA$17/Data!$N$17),"n/a")</f>
        <v>0.3203566482783</v>
      </c>
      <c r="W14" s="11" t="n">
        <f aca="false">IFERROR(Data!$AB$17/Data!$I$17,"n/a")</f>
        <v>0.21912303743912</v>
      </c>
      <c r="X14" s="11" t="n">
        <f aca="false">IFERROR((Data!$AA$17-Data!$AB$17)/Data!$I$17,"n/a")</f>
        <v>-0.168331359245719</v>
      </c>
      <c r="Y14" s="27" t="n">
        <f aca="false">(Data!$AA$17-Data!$AB$17)/Data!$H$17/1000</f>
        <v>-0.137333006031702</v>
      </c>
    </row>
    <row r="15" customFormat="false" ht="15" hidden="false" customHeight="false" outlineLevel="0" collapsed="false">
      <c r="A15" s="10" t="s">
        <v>109</v>
      </c>
      <c r="B15" s="10" t="s">
        <v>106</v>
      </c>
      <c r="C15" s="10" t="s">
        <v>83</v>
      </c>
      <c r="D15" s="26" t="n">
        <f aca="false">Data!$I$18/Data!$H$18/1000</f>
        <v>1.26353682143358</v>
      </c>
      <c r="E15" s="26" t="n">
        <f aca="false">Data!$S$18/Data!$H$18/1000</f>
        <v>2.26169055968579</v>
      </c>
      <c r="F15" s="11" t="n">
        <f aca="false">IFERROR(Data!$I$18/Data!$AD$18-1,"n/a")</f>
        <v>0.232102227884406</v>
      </c>
      <c r="G15" s="11" t="n">
        <f aca="false">IFERROR(IF(Data!$AI$18&lt;=0,"n.m.",Data!$N$18/Data!$AI$18-1),"n/a")</f>
        <v>0.49296440062273</v>
      </c>
      <c r="H15" s="11" t="n">
        <f aca="false">IF(Data!$K$18="","n/a",Data!$K$18/Data!$I$18)</f>
        <v>0.189149703688622</v>
      </c>
      <c r="I15" s="11" t="n">
        <f aca="false">IFERROR(Data!$N$18/Data!$I$18,"n/a")</f>
        <v>0.199615686662846</v>
      </c>
      <c r="J15" s="11" t="n">
        <f aca="false">IFERROR(Data!$L$18/Data!$I$18,"n/a")</f>
        <v>0.0894863469850531</v>
      </c>
      <c r="K15" s="11" t="n">
        <f aca="false">IFERROR(Data!$Q$18/Data!$I$18,"n/a")</f>
        <v>0.0644683458273838</v>
      </c>
      <c r="L15" s="11" t="n">
        <f aca="false">IFERROR(Data!$N$18/AVERAGE(Data!$S$18,Data!$AN$18),"n/a")</f>
        <v>0.113186770644783</v>
      </c>
      <c r="M15" s="11" t="n">
        <f aca="false">IFERROR(Data!$Q$18/AVERAGE(Data!$U$18,Data!$AP$18),"n/a")</f>
        <v>0.0635878823263651</v>
      </c>
      <c r="N15" s="11" t="n">
        <f aca="false">IFERROR(Data!$Q$18/AVERAGE(Data!$S$18,Data!$AN$18),"n/a")</f>
        <v>0.0365550623550811</v>
      </c>
      <c r="O15" s="15" t="n">
        <f aca="false">IFERROR(Data!$I$18/AVERAGE(Data!$S$18,Data!$AN$18),"n/a")</f>
        <v>0.567023426550426</v>
      </c>
      <c r="P15" s="11" t="n">
        <f aca="false">IFERROR(Data!$T$18/Data!$S$18,"n/a")</f>
        <v>0.426037262664548</v>
      </c>
      <c r="Q15" s="11" t="n">
        <f aca="false">IFERROR(Data!$Z$18/Data!$U$18,"n/a")</f>
        <v>0.36719621634863</v>
      </c>
      <c r="R15" s="15" t="n">
        <f aca="false">IFERROR(IF(Data!$N$18&lt;=0,"n.m.",(Data!$Z$18-Data!$W$18)/Data!$N$18),"n/a")</f>
        <v>1.33218266726508</v>
      </c>
      <c r="S15" s="16" t="n">
        <f aca="false">IFERROR(IF(Data!$O$18&lt;=0,"n/a",Data!$L$18/Data!$O$18),"n/a")</f>
        <v>9.61921525573403</v>
      </c>
      <c r="T15" s="15" t="n">
        <f aca="false">IFERROR(Data!$X$18/Data!$Y$18,"n/a")</f>
        <v>1.31091174361242</v>
      </c>
      <c r="U15" s="11" t="n">
        <f aca="false">IFERROR(Data!$AA$18/Data!$I$18,"n/a")</f>
        <v>0.143949868080323</v>
      </c>
      <c r="V15" s="11" t="n">
        <f aca="false">IFERROR(IF(Data!$N$18&lt;=0,"n.m.",Data!$AA$18/Data!$N$18),"n/a")</f>
        <v>0.721135049488652</v>
      </c>
      <c r="W15" s="11" t="n">
        <f aca="false">IFERROR(Data!$AB$18/Data!$I$18,"n/a")</f>
        <v>0.120252506895726</v>
      </c>
      <c r="X15" s="11" t="n">
        <f aca="false">IFERROR((Data!$AA$18-Data!$AB$18)/Data!$I$18,"n/a")</f>
        <v>0.0236973611845972</v>
      </c>
      <c r="Y15" s="27" t="n">
        <f aca="false">(Data!$AA$18-Data!$AB$18)/Data!$H$18/1000</f>
        <v>0.0299424884275495</v>
      </c>
    </row>
    <row r="16" customFormat="false" ht="15" hidden="false" customHeight="false" outlineLevel="0" collapsed="false">
      <c r="A16" s="10" t="s">
        <v>110</v>
      </c>
      <c r="B16" s="10" t="s">
        <v>111</v>
      </c>
      <c r="C16" s="10" t="s">
        <v>101</v>
      </c>
      <c r="D16" s="26" t="n">
        <f aca="false">Data!$I$19/Data!$H$19/1000</f>
        <v>26.885</v>
      </c>
      <c r="E16" s="26" t="n">
        <f aca="false">Data!$S$19/Data!$H$19/1000</f>
        <v>52.301</v>
      </c>
      <c r="F16" s="11" t="n">
        <f aca="false">IFERROR(Data!$I$19/Data!$AD$19-1,"n/a")</f>
        <v>0.0351532419528724</v>
      </c>
      <c r="G16" s="11" t="n">
        <f aca="false">IFERROR(IF(Data!$AI$19&lt;=0,"n.m.",Data!$N$19/Data!$AI$19-1),"n/a")</f>
        <v>0.455303933253874</v>
      </c>
      <c r="H16" s="11" t="n">
        <f aca="false">IF(Data!$K$19="","n/a",Data!$K$19/Data!$I$19)</f>
        <v>0.310470522596243</v>
      </c>
      <c r="I16" s="11" t="n">
        <f aca="false">IFERROR(Data!$N$19/Data!$I$19,"n/a")</f>
        <v>0.227078296447833</v>
      </c>
      <c r="J16" s="11" t="n">
        <f aca="false">IFERROR(Data!$L$19/Data!$I$19,"n/a")</f>
        <v>0.138962246605914</v>
      </c>
      <c r="K16" s="11" t="n">
        <f aca="false">IFERROR(Data!$Q$19/Data!$I$19,"n/a")</f>
        <v>0.0854379765668588</v>
      </c>
      <c r="L16" s="11" t="n">
        <f aca="false">IFERROR(Data!$N$19/AVERAGE(Data!$S$19,Data!$AN$19),"n/a")</f>
        <v>0.117244889140684</v>
      </c>
      <c r="M16" s="11" t="n">
        <f aca="false">IFERROR(Data!$Q$19/AVERAGE(Data!$U$19,Data!$AP$19),"n/a")</f>
        <v>0.0922360310799687</v>
      </c>
      <c r="N16" s="11" t="n">
        <f aca="false">IFERROR(Data!$Q$19/AVERAGE(Data!$S$19,Data!$AN$19),"n/a")</f>
        <v>0.0441132695096072</v>
      </c>
      <c r="O16" s="15" t="n">
        <f aca="false">IFERROR(Data!$I$19/AVERAGE(Data!$S$19,Data!$AN$19),"n/a")</f>
        <v>0.516319221056068</v>
      </c>
      <c r="P16" s="11" t="n">
        <f aca="false">IFERROR(Data!$T$19/Data!$S$19,"n/a")</f>
        <v>0.515018833291907</v>
      </c>
      <c r="Q16" s="11" t="n">
        <f aca="false">IFERROR(Data!$Z$19/Data!$U$19,"n/a")</f>
        <v>0.473841908141139</v>
      </c>
      <c r="R16" s="15" t="n">
        <f aca="false">IFERROR(IF(Data!$N$19&lt;=0,"n.m.",(Data!$Z$19-Data!$W$19)/Data!$N$19),"n/a")</f>
        <v>1.85389025389025</v>
      </c>
      <c r="S16" s="16" t="n">
        <f aca="false">IFERROR(IF(Data!$O$19&lt;=0,"n/a",Data!$L$19/Data!$O$19),"n/a")</f>
        <v>5.43813682678312</v>
      </c>
      <c r="T16" s="15" t="n">
        <f aca="false">IFERROR(Data!$X$19/Data!$Y$19,"n/a")</f>
        <v>1.33583914500498</v>
      </c>
      <c r="U16" s="11" t="n">
        <f aca="false">IFERROR(Data!$AA$19/Data!$I$19,"n/a")</f>
        <v>0.149042216849544</v>
      </c>
      <c r="V16" s="11" t="n">
        <f aca="false">IFERROR(IF(Data!$N$19&lt;=0,"n.m.",Data!$AA$19/Data!$N$19),"n/a")</f>
        <v>0.656347256347256</v>
      </c>
      <c r="W16" s="11" t="n">
        <f aca="false">IFERROR(Data!$AB$19/Data!$I$19,"n/a")</f>
        <v>0.0745769016180026</v>
      </c>
      <c r="X16" s="11" t="n">
        <f aca="false">IFERROR((Data!$AA$19-Data!$AB$19)/Data!$I$19,"n/a")</f>
        <v>0.0744653152315418</v>
      </c>
      <c r="Y16" s="27" t="n">
        <f aca="false">(Data!$AA$19-Data!$AB$19)/Data!$H$19/1000</f>
        <v>2.002</v>
      </c>
    </row>
    <row r="17" customFormat="false" ht="15" hidden="false" customHeight="false" outlineLevel="0" collapsed="false">
      <c r="A17" s="10" t="s">
        <v>112</v>
      </c>
      <c r="B17" s="10" t="s">
        <v>111</v>
      </c>
      <c r="C17" s="10" t="s">
        <v>101</v>
      </c>
      <c r="D17" s="26" t="n">
        <f aca="false">Data!$I$20/Data!$H$20/1000</f>
        <v>12.0524</v>
      </c>
      <c r="E17" s="26" t="n">
        <f aca="false">Data!$S$20/Data!$H$20/1000</f>
        <v>24.4801</v>
      </c>
      <c r="F17" s="11" t="n">
        <f aca="false">IFERROR(Data!$I$20/Data!$AD$20-1,"n/a")</f>
        <v>0.0835760779659798</v>
      </c>
      <c r="G17" s="11" t="n">
        <f aca="false">IFERROR(IF(Data!$AI$20&lt;=0,"n.m.",Data!$N$20/Data!$AI$20-1),"n/a")</f>
        <v>0.136247723132969</v>
      </c>
      <c r="H17" s="11" t="n">
        <f aca="false">IF(Data!$K$20="","n/a",Data!$K$20/Data!$I$20)</f>
        <v>0.157802595333709</v>
      </c>
      <c r="I17" s="11" t="n">
        <f aca="false">IFERROR(Data!$N$20/Data!$I$20,"n/a")</f>
        <v>0.155271979024925</v>
      </c>
      <c r="J17" s="11" t="n">
        <f aca="false">IFERROR(Data!$L$20/Data!$I$20,"n/a")</f>
        <v>0.0681606982841592</v>
      </c>
      <c r="K17" s="11" t="n">
        <f aca="false">IFERROR(Data!$Q$20/Data!$I$20,"n/a")</f>
        <v>0.0477415286581926</v>
      </c>
      <c r="L17" s="11" t="n">
        <f aca="false">IFERROR(Data!$N$20/AVERAGE(Data!$S$20,Data!$AN$20),"n/a")</f>
        <v>0.0789551958585861</v>
      </c>
      <c r="M17" s="11" t="n">
        <f aca="false">IFERROR(Data!$Q$20/AVERAGE(Data!$U$20,Data!$AP$20),"n/a")</f>
        <v>0.0482537978690841</v>
      </c>
      <c r="N17" s="11" t="n">
        <f aca="false">IFERROR(Data!$Q$20/AVERAGE(Data!$S$20,Data!$AN$20),"n/a")</f>
        <v>0.0242763811569042</v>
      </c>
      <c r="O17" s="15" t="n">
        <f aca="false">IFERROR(Data!$I$20/AVERAGE(Data!$S$20,Data!$AN$20),"n/a")</f>
        <v>0.508496100548265</v>
      </c>
      <c r="P17" s="11" t="n">
        <f aca="false">IFERROR(Data!$T$20/Data!$S$20,"n/a")</f>
        <v>0.500238969612052</v>
      </c>
      <c r="Q17" s="11" t="n">
        <f aca="false">IFERROR(Data!$Z$20/Data!$U$20,"n/a")</f>
        <v>0.41309607493747</v>
      </c>
      <c r="R17" s="15" t="n">
        <f aca="false">IFERROR(IF(Data!$N$20&lt;=0,"n.m.",(Data!$Z$20-Data!$W$20)/Data!$N$20),"n/a")</f>
        <v>2.55279469915571</v>
      </c>
      <c r="S17" s="16" t="n">
        <f aca="false">IFERROR(IF(Data!$O$20&lt;=0,"n/a",Data!$L$20/Data!$O$20),"n/a")</f>
        <v>3.40165631469979</v>
      </c>
      <c r="T17" s="15" t="n">
        <f aca="false">IFERROR(Data!$X$20/Data!$Y$20,"n/a")</f>
        <v>1.31502962739781</v>
      </c>
      <c r="U17" s="11" t="n">
        <f aca="false">IFERROR(Data!$AA$20/Data!$I$20,"n/a")</f>
        <v>0.0684345026716671</v>
      </c>
      <c r="V17" s="11" t="n">
        <f aca="false">IFERROR(IF(Data!$N$20&lt;=0,"n.m.",Data!$AA$20/Data!$N$20),"n/a")</f>
        <v>0.440739553275623</v>
      </c>
      <c r="W17" s="11" t="n">
        <f aca="false">IFERROR(Data!$AB$20/Data!$I$20,"n/a")</f>
        <v>0.112790813447944</v>
      </c>
      <c r="X17" s="11" t="n">
        <f aca="false">IFERROR((Data!$AA$20-Data!$AB$20)/Data!$I$20,"n/a")</f>
        <v>-0.0443563107762769</v>
      </c>
      <c r="Y17" s="27" t="n">
        <f aca="false">(Data!$AA$20-Data!$AB$20)/Data!$H$20/1000</f>
        <v>-0.5346</v>
      </c>
    </row>
    <row r="18" customFormat="false" ht="15" hidden="false" customHeight="false" outlineLevel="0" collapsed="false">
      <c r="A18" s="10" t="s">
        <v>113</v>
      </c>
      <c r="B18" s="10" t="s">
        <v>111</v>
      </c>
      <c r="C18" s="10" t="s">
        <v>83</v>
      </c>
      <c r="D18" s="26" t="n">
        <f aca="false">Data!$I$21/Data!$H$21/1000</f>
        <v>6.79126441296115</v>
      </c>
      <c r="E18" s="26" t="n">
        <f aca="false">Data!$S$21/Data!$H$21/1000</f>
        <v>7.06164511151634</v>
      </c>
      <c r="F18" s="11" t="n">
        <f aca="false">IFERROR(Data!$I$21/Data!$AD$21-1,"n/a")</f>
        <v>-0.214736143712448</v>
      </c>
      <c r="G18" s="11" t="n">
        <f aca="false">IFERROR(IF(Data!$AI$21&lt;=0,"n.m.",Data!$N$21/Data!$AI$21-1),"n/a")</f>
        <v>-0.0513942551572638</v>
      </c>
      <c r="H18" s="11" t="n">
        <f aca="false">IF(Data!$K$21="","n/a",Data!$K$21/Data!$I$21)</f>
        <v>0.202137733398074</v>
      </c>
      <c r="I18" s="11" t="n">
        <f aca="false">IFERROR(Data!$N$21/Data!$I$21,"n/a")</f>
        <v>0.20907611049849</v>
      </c>
      <c r="J18" s="11" t="n">
        <f aca="false">IFERROR(Data!$L$21/Data!$I$21,"n/a")</f>
        <v>0.142138341475038</v>
      </c>
      <c r="K18" s="11" t="n">
        <f aca="false">IFERROR(Data!$Q$21/Data!$I$21,"n/a")</f>
        <v>0.113554056183172</v>
      </c>
      <c r="L18" s="11" t="n">
        <f aca="false">IFERROR(Data!$N$21/AVERAGE(Data!$S$21,Data!$AN$21),"n/a")</f>
        <v>0.198730901946077</v>
      </c>
      <c r="M18" s="11" t="n">
        <f aca="false">IFERROR(Data!$Q$21/AVERAGE(Data!$U$21,Data!$AP$21),"n/a")</f>
        <v>0.214722542742255</v>
      </c>
      <c r="N18" s="11" t="n">
        <f aca="false">IFERROR(Data!$Q$21/AVERAGE(Data!$S$21,Data!$AN$21),"n/a")</f>
        <v>0.107935334893655</v>
      </c>
      <c r="O18" s="15" t="n">
        <f aca="false">IFERROR(Data!$I$21/AVERAGE(Data!$S$21,Data!$AN$21),"n/a")</f>
        <v>0.950519413587009</v>
      </c>
      <c r="P18" s="11" t="n">
        <f aca="false">IFERROR(Data!$T$21/Data!$S$21,"n/a")</f>
        <v>0.471718887520572</v>
      </c>
      <c r="Q18" s="11" t="n">
        <f aca="false">IFERROR(Data!$Z$21/Data!$U$21,"n/a")</f>
        <v>0.430983860672928</v>
      </c>
      <c r="R18" s="15" t="n">
        <f aca="false">IFERROR(IF(Data!$N$21&lt;=0,"n.m.",(Data!$Z$21-Data!$W$21)/Data!$N$21),"n/a")</f>
        <v>0.640222717844496</v>
      </c>
      <c r="S18" s="16" t="n">
        <f aca="false">IFERROR(IF(Data!$O$21&lt;=0,"n/a",Data!$L$21/Data!$O$21),"n/a")</f>
        <v>18.5616409166433</v>
      </c>
      <c r="T18" s="15" t="n">
        <f aca="false">IFERROR(Data!$X$21/Data!$Y$21,"n/a")</f>
        <v>0.849723030058388</v>
      </c>
      <c r="U18" s="11" t="n">
        <f aca="false">IFERROR(Data!$AA$21/Data!$I$21,"n/a")</f>
        <v>0.187694542286176</v>
      </c>
      <c r="V18" s="11" t="n">
        <f aca="false">IFERROR(IF(Data!$N$21&lt;=0,"n.m.",Data!$AA$21/Data!$N$21),"n/a")</f>
        <v>0.897733087910738</v>
      </c>
      <c r="W18" s="11" t="n">
        <f aca="false">IFERROR(Data!$AB$21/Data!$I$21,"n/a")</f>
        <v>0.047171694413896</v>
      </c>
      <c r="X18" s="11" t="n">
        <f aca="false">IFERROR((Data!$AA$21-Data!$AB$21)/Data!$I$21,"n/a")</f>
        <v>0.14052284787228</v>
      </c>
      <c r="Y18" s="27" t="n">
        <f aca="false">(Data!$AA$21-Data!$AB$21)/Data!$H$21/1000</f>
        <v>0.954327815962968</v>
      </c>
    </row>
    <row r="19" customFormat="false" ht="15" hidden="false" customHeight="false" outlineLevel="0" collapsed="false">
      <c r="A19" s="10" t="s">
        <v>114</v>
      </c>
      <c r="B19" s="10" t="s">
        <v>111</v>
      </c>
      <c r="C19" s="10" t="s">
        <v>83</v>
      </c>
      <c r="D19" s="26" t="n">
        <f aca="false">Data!$I$22/Data!$H$22/1000</f>
        <v>2.17439248141394</v>
      </c>
      <c r="E19" s="26" t="n">
        <f aca="false">Data!$S$22/Data!$H$22/1000</f>
        <v>8.57959208865199</v>
      </c>
      <c r="F19" s="11" t="n">
        <f aca="false">IFERROR(Data!$I$22/Data!$AD$22-1,"n/a")</f>
        <v>0.0242580341638627</v>
      </c>
      <c r="G19" s="11" t="n">
        <f aca="false">IFERROR(IF(Data!$AI$22&lt;=0,"n.m.",Data!$N$22/Data!$AI$22-1),"n/a")</f>
        <v>0.214040451434477</v>
      </c>
      <c r="H19" s="11" t="n">
        <f aca="false">IF(Data!$K$22="","n/a",Data!$K$22/Data!$I$22)</f>
        <v>0.57855137303819</v>
      </c>
      <c r="I19" s="11" t="n">
        <f aca="false">IFERROR(Data!$N$22/Data!$I$22,"n/a")</f>
        <v>0.516282370627803</v>
      </c>
      <c r="J19" s="11" t="n">
        <f aca="false">IFERROR(Data!$L$22/Data!$I$22,"n/a")</f>
        <v>0.450311987863684</v>
      </c>
      <c r="K19" s="11" t="n">
        <f aca="false">IFERROR(Data!$Q$22/Data!$I$22,"n/a")</f>
        <v>0.57715180794522</v>
      </c>
      <c r="L19" s="11" t="n">
        <f aca="false">IFERROR(Data!$N$22/AVERAGE(Data!$S$22,Data!$AN$22),"n/a")</f>
        <v>0.149663604124231</v>
      </c>
      <c r="M19" s="11" t="n">
        <f aca="false">IFERROR(Data!$Q$22/AVERAGE(Data!$U$22,Data!$AP$22),"n/a")</f>
        <v>0.198678527901615</v>
      </c>
      <c r="N19" s="11" t="n">
        <f aca="false">IFERROR(Data!$Q$22/AVERAGE(Data!$S$22,Data!$AN$22),"n/a")</f>
        <v>0.167308869367089</v>
      </c>
      <c r="O19" s="15" t="n">
        <f aca="false">IFERROR(Data!$I$22/AVERAGE(Data!$S$22,Data!$AN$22),"n/a")</f>
        <v>0.28988710953318</v>
      </c>
      <c r="P19" s="11" t="n">
        <f aca="false">IFERROR(Data!$T$22/Data!$S$22,"n/a")</f>
        <v>0.174893505830693</v>
      </c>
      <c r="Q19" s="11" t="n">
        <f aca="false">IFERROR(Data!$Z$22/Data!$U$22,"n/a")</f>
        <v>0.0253811520221041</v>
      </c>
      <c r="R19" s="15" t="n">
        <f aca="false">IFERROR(IF(Data!$N$22&lt;=0,"n.m.",(Data!$Z$22-Data!$W$22)/Data!$N$22),"n/a")</f>
        <v>-2.89050357121481</v>
      </c>
      <c r="S19" s="16" t="n">
        <f aca="false">IFERROR(IF(Data!$O$22&lt;=0,"n/a",Data!$L$22/Data!$O$22),"n/a")</f>
        <v>347.577353980979</v>
      </c>
      <c r="T19" s="15" t="n">
        <f aca="false">IFERROR(Data!$X$22/Data!$Y$22,"n/a")</f>
        <v>4.85890454317934</v>
      </c>
      <c r="U19" s="11" t="n">
        <f aca="false">IFERROR(Data!$AA$22/Data!$I$22,"n/a")</f>
        <v>0.655486811252052</v>
      </c>
      <c r="V19" s="11" t="n">
        <f aca="false">IFERROR(IF(Data!$N$22&lt;=0,"n.m.",Data!$AA$22/Data!$N$22),"n/a")</f>
        <v>1.26962849894521</v>
      </c>
      <c r="W19" s="11" t="n">
        <f aca="false">IFERROR(Data!$AB$22/Data!$I$22,"n/a")</f>
        <v>0.105893694725404</v>
      </c>
      <c r="X19" s="11" t="n">
        <f aca="false">IFERROR((Data!$AA$22-Data!$AB$22)/Data!$I$22,"n/a")</f>
        <v>0.549593116526648</v>
      </c>
      <c r="Y19" s="27" t="n">
        <f aca="false">(Data!$AA$22-Data!$AB$22)/Data!$H$22/1000</f>
        <v>1.1950311404124</v>
      </c>
    </row>
    <row r="21" customFormat="false" ht="15" hidden="false" customHeight="false" outlineLevel="0" collapsed="false">
      <c r="A21" s="28" t="s">
        <v>92</v>
      </c>
      <c r="B21" s="29"/>
      <c r="C21" s="29"/>
      <c r="D21" s="30" t="n">
        <f aca="false">IFERROR(MEDIAN(D12:D19),"n/a")</f>
        <v>5.12933220648057</v>
      </c>
      <c r="E21" s="30" t="n">
        <f aca="false">IFERROR(MEDIAN(E12:E19),"n/a")</f>
        <v>9.13339604432599</v>
      </c>
      <c r="F21" s="31" t="n">
        <f aca="false">IFERROR(MEDIAN(F12:F19),"n/a")</f>
        <v>0.0321555185397199</v>
      </c>
      <c r="G21" s="31" t="n">
        <f aca="false">IFERROR(MEDIAN(G12:G19),"n/a")</f>
        <v>0.175144087283723</v>
      </c>
      <c r="H21" s="31" t="n">
        <f aca="false">IFERROR(MEDIAN(H12:H19),"n/a")</f>
        <v>0.256304127997158</v>
      </c>
      <c r="I21" s="31" t="n">
        <f aca="false">IFERROR(MEDIAN(I12:I19),"n/a")</f>
        <v>0.18804989838573</v>
      </c>
      <c r="J21" s="31" t="n">
        <f aca="false">IFERROR(MEDIAN(J12:J19),"n/a")</f>
        <v>0.111992558606503</v>
      </c>
      <c r="K21" s="31" t="n">
        <f aca="false">IFERROR(MEDIAN(K12:K19),"n/a")</f>
        <v>0.0749531611971213</v>
      </c>
      <c r="L21" s="31" t="n">
        <f aca="false">IFERROR(MEDIAN(L12:L19),"n/a")</f>
        <v>0.106808881415385</v>
      </c>
      <c r="M21" s="31" t="n">
        <f aca="false">IFERROR(MEDIAN(M12:M19),"n/a")</f>
        <v>0.0779119567031669</v>
      </c>
      <c r="N21" s="31" t="n">
        <f aca="false">IFERROR(MEDIAN(N12:N19),"n/a")</f>
        <v>0.0403341659323441</v>
      </c>
      <c r="O21" s="32" t="n">
        <f aca="false">IFERROR(MEDIAN(O12:O19),"n/a")</f>
        <v>0.512407660802167</v>
      </c>
      <c r="P21" s="31" t="n">
        <f aca="false">IFERROR(MEDIAN(P12:P19),"n/a")</f>
        <v>0.485978928566312</v>
      </c>
      <c r="Q21" s="31" t="n">
        <f aca="false">IFERROR(MEDIAN(Q12:Q19),"n/a")</f>
        <v>0.422039967805199</v>
      </c>
      <c r="R21" s="32" t="n">
        <f aca="false">IFERROR(MEDIAN(R12:R19),"n/a")</f>
        <v>1.33218266726508</v>
      </c>
      <c r="S21" s="33" t="n">
        <f aca="false">IFERROR(MEDIAN(S12:S19),"n/a")</f>
        <v>9.9984965167559</v>
      </c>
      <c r="T21" s="32" t="n">
        <f aca="false">IFERROR(MEDIAN(T12:T19),"n/a")</f>
        <v>1.31778163658922</v>
      </c>
      <c r="U21" s="31" t="n">
        <f aca="false">IFERROR(MEDIAN(U12:U19),"n/a")</f>
        <v>0.146496042464934</v>
      </c>
      <c r="V21" s="31" t="n">
        <f aca="false">IFERROR(MEDIAN(V12:V19),"n/a")</f>
        <v>0.721135049488652</v>
      </c>
      <c r="W21" s="31" t="n">
        <f aca="false">IFERROR(MEDIAN(W12:W19),"n/a")</f>
        <v>0.0902352981717033</v>
      </c>
      <c r="X21" s="31" t="n">
        <f aca="false">IFERROR(MEDIAN(X12:X19),"n/a")</f>
        <v>0.0490813382080695</v>
      </c>
      <c r="Y21" s="34" t="n">
        <f aca="false">IFERROR(MEDIAN(Y12:Y19),"n/a")</f>
        <v>0.492135152195259</v>
      </c>
    </row>
    <row r="22" customFormat="false" ht="15" hidden="false" customHeight="false" outlineLevel="0" collapsed="false">
      <c r="A22" s="35" t="s">
        <v>93</v>
      </c>
      <c r="B22" s="29"/>
      <c r="C22" s="29"/>
      <c r="D22" s="36" t="n">
        <f aca="false">IFERROR(MAX(D12:D19),"n/a")</f>
        <v>26.885</v>
      </c>
      <c r="E22" s="36" t="n">
        <f aca="false">IFERROR(MAX(E12:E19),"n/a")</f>
        <v>52.301</v>
      </c>
      <c r="F22" s="37" t="n">
        <f aca="false">IFERROR(MAX(F12:F19),"n/a")</f>
        <v>0.232102227884406</v>
      </c>
      <c r="G22" s="37" t="n">
        <f aca="false">IFERROR(MAX(G12:G19),"n/a")</f>
        <v>0.49296440062273</v>
      </c>
      <c r="H22" s="37" t="n">
        <f aca="false">IFERROR(MAX(H12:H19),"n/a")</f>
        <v>0.57855137303819</v>
      </c>
      <c r="I22" s="37" t="n">
        <f aca="false">IFERROR(MAX(I12:I19),"n/a")</f>
        <v>0.516282370627803</v>
      </c>
      <c r="J22" s="37" t="n">
        <f aca="false">IFERROR(MAX(J12:J19),"n/a")</f>
        <v>0.450311987863684</v>
      </c>
      <c r="K22" s="37" t="n">
        <f aca="false">IFERROR(MAX(K12:K19),"n/a")</f>
        <v>0.57715180794522</v>
      </c>
      <c r="L22" s="37" t="n">
        <f aca="false">IFERROR(MAX(L12:L19),"n/a")</f>
        <v>0.198730901946077</v>
      </c>
      <c r="M22" s="37" t="n">
        <f aca="false">IFERROR(MAX(M12:M19),"n/a")</f>
        <v>0.214722542742255</v>
      </c>
      <c r="N22" s="37" t="n">
        <f aca="false">IFERROR(MAX(N12:N19),"n/a")</f>
        <v>0.167308869367089</v>
      </c>
      <c r="O22" s="38" t="n">
        <f aca="false">IFERROR(MAX(O12:O19),"n/a")</f>
        <v>0.950519413587009</v>
      </c>
      <c r="P22" s="37" t="n">
        <f aca="false">IFERROR(MAX(P12:P19),"n/a")</f>
        <v>0.783332645139979</v>
      </c>
      <c r="Q22" s="37" t="n">
        <f aca="false">IFERROR(MAX(Q12:Q19),"n/a")</f>
        <v>1.94144551908142</v>
      </c>
      <c r="R22" s="38" t="n">
        <f aca="false">IFERROR(MAX(R12:R19),"n/a")</f>
        <v>2.55279469915571</v>
      </c>
      <c r="S22" s="39" t="n">
        <f aca="false">IFERROR(MAX(S12:S19),"n/a")</f>
        <v>347.577353980979</v>
      </c>
      <c r="T22" s="38" t="n">
        <f aca="false">IFERROR(MAX(T12:T19),"n/a")</f>
        <v>4.85890454317934</v>
      </c>
      <c r="U22" s="37" t="n">
        <f aca="false">IFERROR(MAX(U12:U19),"n/a")</f>
        <v>0.655486811252052</v>
      </c>
      <c r="V22" s="37" t="n">
        <f aca="false">IFERROR(MAX(V12:V19),"n/a")</f>
        <v>1.26962849894521</v>
      </c>
      <c r="W22" s="37" t="n">
        <f aca="false">IFERROR(MAX(W12:W19),"n/a")</f>
        <v>0.21912303743912</v>
      </c>
      <c r="X22" s="37" t="n">
        <f aca="false">IFERROR(MAX(X12:X19),"n/a")</f>
        <v>0.549593116526648</v>
      </c>
      <c r="Y22" s="40" t="n">
        <f aca="false">IFERROR(MAX(Y12:Y19),"n/a")</f>
        <v>2.815</v>
      </c>
    </row>
    <row r="23" customFormat="false" ht="15" hidden="false" customHeight="false" outlineLevel="0" collapsed="false">
      <c r="A23" s="35" t="s">
        <v>94</v>
      </c>
      <c r="B23" s="29"/>
      <c r="C23" s="29"/>
      <c r="D23" s="36" t="n">
        <f aca="false">IFERROR(MIN(D12:D19),"n/a")</f>
        <v>0.815849207462477</v>
      </c>
      <c r="E23" s="36" t="n">
        <f aca="false">IFERROR(MIN(E12:E19),"n/a")</f>
        <v>1.3648573432459</v>
      </c>
      <c r="F23" s="37" t="n">
        <f aca="false">IFERROR(MIN(F12:F19),"n/a")</f>
        <v>-0.214736143712448</v>
      </c>
      <c r="G23" s="37" t="n">
        <f aca="false">IFERROR(MIN(G12:G19),"n/a")</f>
        <v>-3.1304920913884</v>
      </c>
      <c r="H23" s="37" t="n">
        <f aca="false">IFERROR(MIN(H12:H19),"n/a")</f>
        <v>0.157802595333709</v>
      </c>
      <c r="I23" s="37" t="n">
        <f aca="false">IFERROR(MIN(I12:I19),"n/a")</f>
        <v>-0.419536251946704</v>
      </c>
      <c r="J23" s="37" t="n">
        <f aca="false">IFERROR(MIN(J12:J19),"n/a")</f>
        <v>-0.469602584068755</v>
      </c>
      <c r="K23" s="37" t="n">
        <f aca="false">IFERROR(MIN(K12:K19),"n/a")</f>
        <v>-0.645267347291919</v>
      </c>
      <c r="L23" s="37" t="n">
        <f aca="false">IFERROR(MIN(L12:L19),"n/a")</f>
        <v>-0.136332325859282</v>
      </c>
      <c r="M23" s="37" t="n">
        <f aca="false">IFERROR(MIN(M12:M19),"n/a")</f>
        <v>-0.677209921757949</v>
      </c>
      <c r="N23" s="37" t="n">
        <f aca="false">IFERROR(MIN(N12:N19),"n/a")</f>
        <v>-0.209685808673649</v>
      </c>
      <c r="O23" s="38" t="n">
        <f aca="false">IFERROR(MIN(O12:O19),"n/a")</f>
        <v>0.28988710953318</v>
      </c>
      <c r="P23" s="37" t="n">
        <f aca="false">IFERROR(MIN(P12:P19),"n/a")</f>
        <v>0.174893505830693</v>
      </c>
      <c r="Q23" s="37" t="n">
        <f aca="false">IFERROR(MIN(Q12:Q19),"n/a")</f>
        <v>0.0253811520221041</v>
      </c>
      <c r="R23" s="38" t="n">
        <f aca="false">IFERROR(MIN(R12:R19),"n/a")</f>
        <v>-2.89050357121481</v>
      </c>
      <c r="S23" s="39" t="n">
        <f aca="false">IFERROR(MIN(S12:S19),"n/a")</f>
        <v>-6.79590984974958</v>
      </c>
      <c r="T23" s="38" t="n">
        <f aca="false">IFERROR(MIN(T12:T19),"n/a")</f>
        <v>0.849723030058388</v>
      </c>
      <c r="U23" s="37" t="n">
        <f aca="false">IFERROR(MIN(U12:U19),"n/a")</f>
        <v>-0.00178808329007325</v>
      </c>
      <c r="V23" s="37" t="n">
        <f aca="false">IFERROR(MIN(V12:V19),"n/a")</f>
        <v>0.3203566482783</v>
      </c>
      <c r="W23" s="37" t="n">
        <f aca="false">IFERROR(MIN(W12:W19),"n/a")</f>
        <v>0.0277729711022668</v>
      </c>
      <c r="X23" s="37" t="n">
        <f aca="false">IFERROR(MIN(X12:X19),"n/a")</f>
        <v>-0.168331359245719</v>
      </c>
      <c r="Y23" s="40" t="n">
        <f aca="false">IFERROR(MIN(Y12:Y19),"n/a")</f>
        <v>-0.5346</v>
      </c>
    </row>
    <row r="24" customFormat="false" ht="15" hidden="false" customHeight="false" outlineLevel="0" collapsed="false">
      <c r="A24" s="28" t="s">
        <v>115</v>
      </c>
      <c r="B24" s="29"/>
      <c r="C24" s="29"/>
      <c r="D24" s="30" t="n">
        <f aca="false">IFERROR(MEDIAN(D12:D15),"n/a")</f>
        <v>2.36546841071679</v>
      </c>
      <c r="E24" s="30" t="n">
        <f aca="false">IFERROR(MEDIAN(E12:E15),"n/a")</f>
        <v>5.9744452798429</v>
      </c>
      <c r="F24" s="31" t="n">
        <f aca="false">IFERROR(MEDIAN(F12:F15),"n/a")</f>
        <v>0.0499827046614249</v>
      </c>
      <c r="G24" s="31" t="n">
        <f aca="false">IFERROR(MEDIAN(G12:G15),"n/a")</f>
        <v>0.184196283166461</v>
      </c>
      <c r="H24" s="31" t="n">
        <f aca="false">IFERROR(MEDIAN(H12:H15),"n/a")</f>
        <v>0.279583792260761</v>
      </c>
      <c r="I24" s="31" t="n">
        <f aca="false">IFERROR(MEDIAN(I12:I15),"n/a")</f>
        <v>0.16751569970375</v>
      </c>
      <c r="J24" s="31" t="n">
        <f aca="false">IFERROR(MEDIAN(J12:J15),"n/a")</f>
        <v>0.0984182496375757</v>
      </c>
      <c r="K24" s="31" t="n">
        <f aca="false">IFERROR(MEDIAN(K12:K15),"n/a")</f>
        <v>0.0639852217039913</v>
      </c>
      <c r="L24" s="31" t="n">
        <f aca="false">IFERROR(MEDIAN(L12:L15),"n/a")</f>
        <v>0.0869192130763803</v>
      </c>
      <c r="M24" s="31" t="n">
        <f aca="false">IFERROR(MEDIAN(M12:M15),"n/a")</f>
        <v>0.0546169748710477</v>
      </c>
      <c r="N24" s="31" t="n">
        <f aca="false">IFERROR(MEDIAN(N12:N15),"n/a")</f>
        <v>0.0314841763311201</v>
      </c>
      <c r="O24" s="32" t="n">
        <f aca="false">IFERROR(MEDIAN(O12:O15),"n/a")</f>
        <v>0.491483507227645</v>
      </c>
      <c r="P24" s="31" t="n">
        <f aca="false">IFERROR(MEDIAN(P12:P15),"n/a")</f>
        <v>0.49351958942064</v>
      </c>
      <c r="Q24" s="31" t="n">
        <f aca="false">IFERROR(MEDIAN(Q12:Q15),"n/a")</f>
        <v>0.46231294194279</v>
      </c>
      <c r="R24" s="32" t="n">
        <f aca="false">IFERROR(MEDIAN(R12:R15),"n/a")</f>
        <v>1.33218266726508</v>
      </c>
      <c r="S24" s="33" t="n">
        <f aca="false">IFERROR(MEDIAN(S12:S15),"n/a")</f>
        <v>9.9984965167559</v>
      </c>
      <c r="T24" s="32" t="n">
        <f aca="false">IFERROR(MEDIAN(T12:T15),"n/a")</f>
        <v>1.31572269469652</v>
      </c>
      <c r="U24" s="31" t="n">
        <f aca="false">IFERROR(MEDIAN(U12:U15),"n/a")</f>
        <v>0.097370773136862</v>
      </c>
      <c r="V24" s="31" t="n">
        <f aca="false">IFERROR(MEDIAN(V12:V15),"n/a")</f>
        <v>0.721135049488652</v>
      </c>
      <c r="W24" s="31" t="n">
        <f aca="false">IFERROR(MEDIAN(W12:W15),"n/a")</f>
        <v>0.077108036104032</v>
      </c>
      <c r="X24" s="31" t="n">
        <f aca="false">IFERROR(MEDIAN(X12:X15),"n/a")</f>
        <v>-0.00293184660387145</v>
      </c>
      <c r="Y24" s="34" t="n">
        <f aca="false">IFERROR(MEDIAN(Y12:Y15),"n/a")</f>
        <v>-0.0362787557862253</v>
      </c>
    </row>
    <row r="25" customFormat="false" ht="15" hidden="false" customHeight="false" outlineLevel="0" collapsed="false">
      <c r="A25" s="28" t="s">
        <v>116</v>
      </c>
      <c r="B25" s="29"/>
      <c r="C25" s="29"/>
      <c r="D25" s="30" t="n">
        <f aca="false">IFERROR(MEDIAN(D16:D19),"n/a")</f>
        <v>9.42183220648057</v>
      </c>
      <c r="E25" s="30" t="n">
        <f aca="false">IFERROR(MEDIAN(E16:E19),"n/a")</f>
        <v>16.529846044326</v>
      </c>
      <c r="F25" s="31" t="n">
        <f aca="false">IFERROR(MEDIAN(F16:F19),"n/a")</f>
        <v>0.0297056380583676</v>
      </c>
      <c r="G25" s="31" t="n">
        <f aca="false">IFERROR(MEDIAN(G16:G19),"n/a")</f>
        <v>0.175144087283723</v>
      </c>
      <c r="H25" s="31" t="n">
        <f aca="false">IFERROR(MEDIAN(H16:H19),"n/a")</f>
        <v>0.256304127997158</v>
      </c>
      <c r="I25" s="31" t="n">
        <f aca="false">IFERROR(MEDIAN(I16:I19),"n/a")</f>
        <v>0.218077203473162</v>
      </c>
      <c r="J25" s="31" t="n">
        <f aca="false">IFERROR(MEDIAN(J16:J19),"n/a")</f>
        <v>0.140550294040476</v>
      </c>
      <c r="K25" s="31" t="n">
        <f aca="false">IFERROR(MEDIAN(K16:K19),"n/a")</f>
        <v>0.0994960163750154</v>
      </c>
      <c r="L25" s="31" t="n">
        <f aca="false">IFERROR(MEDIAN(L16:L19),"n/a")</f>
        <v>0.133454246632458</v>
      </c>
      <c r="M25" s="31" t="n">
        <f aca="false">IFERROR(MEDIAN(M16:M19),"n/a")</f>
        <v>0.145457279490792</v>
      </c>
      <c r="N25" s="31" t="n">
        <f aca="false">IFERROR(MEDIAN(N16:N19),"n/a")</f>
        <v>0.076024302201631</v>
      </c>
      <c r="O25" s="32" t="n">
        <f aca="false">IFERROR(MEDIAN(O16:O19),"n/a")</f>
        <v>0.512407660802167</v>
      </c>
      <c r="P25" s="31" t="n">
        <f aca="false">IFERROR(MEDIAN(P16:P19),"n/a")</f>
        <v>0.485978928566312</v>
      </c>
      <c r="Q25" s="31" t="n">
        <f aca="false">IFERROR(MEDIAN(Q16:Q19),"n/a")</f>
        <v>0.422039967805199</v>
      </c>
      <c r="R25" s="32" t="n">
        <f aca="false">IFERROR(MEDIAN(R16:R19),"n/a")</f>
        <v>1.24705648586738</v>
      </c>
      <c r="S25" s="33" t="n">
        <f aca="false">IFERROR(MEDIAN(S16:S19),"n/a")</f>
        <v>11.9998888717132</v>
      </c>
      <c r="T25" s="32" t="n">
        <f aca="false">IFERROR(MEDIAN(T16:T19),"n/a")</f>
        <v>1.3254343862014</v>
      </c>
      <c r="U25" s="31" t="n">
        <f aca="false">IFERROR(MEDIAN(U16:U19),"n/a")</f>
        <v>0.16836837956786</v>
      </c>
      <c r="V25" s="31" t="n">
        <f aca="false">IFERROR(MEDIAN(V16:V19),"n/a")</f>
        <v>0.777040172128997</v>
      </c>
      <c r="W25" s="31" t="n">
        <f aca="false">IFERROR(MEDIAN(W16:W19),"n/a")</f>
        <v>0.0902352981717033</v>
      </c>
      <c r="X25" s="31" t="n">
        <f aca="false">IFERROR(MEDIAN(X16:X19),"n/a")</f>
        <v>0.107494081551911</v>
      </c>
      <c r="Y25" s="34" t="n">
        <f aca="false">IFERROR(MEDIAN(Y16:Y19),"n/a")</f>
        <v>1.07467947818768</v>
      </c>
    </row>
    <row r="27" customFormat="false" ht="15" hidden="false" customHeight="false" outlineLevel="0" collapsed="false">
      <c r="A27" s="41" t="s">
        <v>117</v>
      </c>
      <c r="B27" s="42"/>
      <c r="C27" s="42"/>
      <c r="D27" s="43" t="n">
        <f aca="false">IFERROR(D8-D21,"n/a")</f>
        <v>11.8696677935194</v>
      </c>
      <c r="E27" s="43" t="n">
        <f aca="false">IFERROR(E8-E21,"n/a")</f>
        <v>21.665603955674</v>
      </c>
      <c r="F27" s="44" t="n">
        <f aca="false">IFERROR(F8-F21,"n/a")</f>
        <v>-0.0310955102952114</v>
      </c>
      <c r="G27" s="44" t="n">
        <f aca="false">IFERROR(G8-G21,"n/a")</f>
        <v>-0.255859619569936</v>
      </c>
      <c r="H27" s="44" t="n">
        <f aca="false">IFERROR(H8-H21,"n/a")</f>
        <v>0.13889558963329</v>
      </c>
      <c r="I27" s="44" t="n">
        <f aca="false">IFERROR(I8-I21,"n/a")</f>
        <v>-0.0641014308288152</v>
      </c>
      <c r="J27" s="44" t="n">
        <f aca="false">IFERROR(J8-J21,"n/a")</f>
        <v>-0.0396941881141209</v>
      </c>
      <c r="K27" s="44" t="n">
        <f aca="false">IFERROR(K8-K21,"n/a")</f>
        <v>-0.0838948636502068</v>
      </c>
      <c r="L27" s="44" t="n">
        <f aca="false">IFERROR(L8-L21,"n/a")</f>
        <v>-0.0368600068386635</v>
      </c>
      <c r="M27" s="44" t="n">
        <f aca="false">IFERROR(M8-M21,"n/a")</f>
        <v>-0.0986656432132706</v>
      </c>
      <c r="N27" s="44" t="n">
        <f aca="false">IFERROR(N8-N21,"n/a")</f>
        <v>-0.0453803116066021</v>
      </c>
      <c r="O27" s="45" t="n">
        <f aca="false">IFERROR(O8-O21,"n/a")</f>
        <v>0.0519306965446232</v>
      </c>
      <c r="P27" s="44" t="n">
        <f aca="false">IFERROR(P8-P21,"n/a")</f>
        <v>0.274175621906106</v>
      </c>
      <c r="Q27" s="44" t="n">
        <f aca="false">IFERROR(Q8-Q21,"n/a")</f>
        <v>1.00357259480479</v>
      </c>
      <c r="R27" s="45" t="n">
        <f aca="false">IFERROR(R8-R21,"n/a")</f>
        <v>3.34460897962623</v>
      </c>
      <c r="S27" s="46" t="n">
        <f aca="false">IFERROR(S8-S21,"n/a")</f>
        <v>-8.41064121959828</v>
      </c>
      <c r="T27" s="45" t="n">
        <f aca="false">IFERROR(T8-T21,"n/a")</f>
        <v>-0.25813101877925</v>
      </c>
      <c r="U27" s="44" t="n">
        <f aca="false">IFERROR(U8-U21,"n/a")</f>
        <v>-0.0567260559951412</v>
      </c>
      <c r="V27" s="44" t="n">
        <f aca="false">IFERROR(V8-V21,"n/a")</f>
        <v>0.00311744220570054</v>
      </c>
      <c r="W27" s="44" t="n">
        <f aca="false">IFERROR(W8-W21,"n/a")</f>
        <v>-0.0186428515571965</v>
      </c>
      <c r="X27" s="44" t="n">
        <f aca="false">IFERROR(X8-X21,"n/a")</f>
        <v>-0.0309037983527839</v>
      </c>
      <c r="Y27" s="47" t="n">
        <f aca="false">IFERROR(Y8-Y21,"n/a")</f>
        <v>-0.183135152195259</v>
      </c>
    </row>
  </sheetData>
  <mergeCells count="6">
    <mergeCell ref="D5:E5"/>
    <mergeCell ref="F5:G5"/>
    <mergeCell ref="H5:K5"/>
    <mergeCell ref="L5:O5"/>
    <mergeCell ref="P5:T5"/>
    <mergeCell ref="U5:Y5"/>
  </mergeCells>
  <conditionalFormatting sqref="F27">
    <cfRule type="expression" priority="2" aboveAverage="0" equalAverage="0" bottom="0" percent="0" rank="0" text="" dxfId="2">
      <formula>AND(ISNUMBER(F27),F27*F$7&gt;0)</formula>
    </cfRule>
    <cfRule type="expression" priority="3" aboveAverage="0" equalAverage="0" bottom="0" percent="0" rank="0" text="" dxfId="3">
      <formula>AND(ISNUMBER(F27),F27*F$7&lt;0)</formula>
    </cfRule>
  </conditionalFormatting>
  <conditionalFormatting sqref="G27">
    <cfRule type="expression" priority="4" aboveAverage="0" equalAverage="0" bottom="0" percent="0" rank="0" text="" dxfId="2">
      <formula>AND(ISNUMBER(G27),G27*G$7&gt;0)</formula>
    </cfRule>
    <cfRule type="expression" priority="5" aboveAverage="0" equalAverage="0" bottom="0" percent="0" rank="0" text="" dxfId="3">
      <formula>AND(ISNUMBER(G27),G27*G$7&lt;0)</formula>
    </cfRule>
  </conditionalFormatting>
  <conditionalFormatting sqref="H27">
    <cfRule type="expression" priority="6" aboveAverage="0" equalAverage="0" bottom="0" percent="0" rank="0" text="" dxfId="2">
      <formula>AND(ISNUMBER(H27),H27*H$7&gt;0)</formula>
    </cfRule>
    <cfRule type="expression" priority="7" aboveAverage="0" equalAverage="0" bottom="0" percent="0" rank="0" text="" dxfId="3">
      <formula>AND(ISNUMBER(H27),H27*H$7&lt;0)</formula>
    </cfRule>
  </conditionalFormatting>
  <conditionalFormatting sqref="I27">
    <cfRule type="expression" priority="8" aboveAverage="0" equalAverage="0" bottom="0" percent="0" rank="0" text="" dxfId="2">
      <formula>AND(ISNUMBER(I27),I27*I$7&gt;0)</formula>
    </cfRule>
    <cfRule type="expression" priority="9" aboveAverage="0" equalAverage="0" bottom="0" percent="0" rank="0" text="" dxfId="3">
      <formula>AND(ISNUMBER(I27),I27*I$7&lt;0)</formula>
    </cfRule>
  </conditionalFormatting>
  <conditionalFormatting sqref="J27">
    <cfRule type="expression" priority="10" aboveAverage="0" equalAverage="0" bottom="0" percent="0" rank="0" text="" dxfId="2">
      <formula>AND(ISNUMBER(J27),J27*J$7&gt;0)</formula>
    </cfRule>
    <cfRule type="expression" priority="11" aboveAverage="0" equalAverage="0" bottom="0" percent="0" rank="0" text="" dxfId="3">
      <formula>AND(ISNUMBER(J27),J27*J$7&lt;0)</formula>
    </cfRule>
  </conditionalFormatting>
  <conditionalFormatting sqref="K27">
    <cfRule type="expression" priority="12" aboveAverage="0" equalAverage="0" bottom="0" percent="0" rank="0" text="" dxfId="2">
      <formula>AND(ISNUMBER(K27),K27*K$7&gt;0)</formula>
    </cfRule>
    <cfRule type="expression" priority="13" aboveAverage="0" equalAverage="0" bottom="0" percent="0" rank="0" text="" dxfId="3">
      <formula>AND(ISNUMBER(K27),K27*K$7&lt;0)</formula>
    </cfRule>
  </conditionalFormatting>
  <conditionalFormatting sqref="L27">
    <cfRule type="expression" priority="14" aboveAverage="0" equalAverage="0" bottom="0" percent="0" rank="0" text="" dxfId="2">
      <formula>AND(ISNUMBER(L27),L27*L$7&gt;0)</formula>
    </cfRule>
    <cfRule type="expression" priority="15" aboveAverage="0" equalAverage="0" bottom="0" percent="0" rank="0" text="" dxfId="3">
      <formula>AND(ISNUMBER(L27),L27*L$7&lt;0)</formula>
    </cfRule>
  </conditionalFormatting>
  <conditionalFormatting sqref="M27">
    <cfRule type="expression" priority="16" aboveAverage="0" equalAverage="0" bottom="0" percent="0" rank="0" text="" dxfId="2">
      <formula>AND(ISNUMBER(M27),M27*M$7&gt;0)</formula>
    </cfRule>
    <cfRule type="expression" priority="17" aboveAverage="0" equalAverage="0" bottom="0" percent="0" rank="0" text="" dxfId="3">
      <formula>AND(ISNUMBER(M27),M27*M$7&lt;0)</formula>
    </cfRule>
  </conditionalFormatting>
  <conditionalFormatting sqref="N27">
    <cfRule type="expression" priority="18" aboveAverage="0" equalAverage="0" bottom="0" percent="0" rank="0" text="" dxfId="2">
      <formula>AND(ISNUMBER(N27),N27*N$7&gt;0)</formula>
    </cfRule>
    <cfRule type="expression" priority="19" aboveAverage="0" equalAverage="0" bottom="0" percent="0" rank="0" text="" dxfId="3">
      <formula>AND(ISNUMBER(N27),N27*N$7&lt;0)</formula>
    </cfRule>
  </conditionalFormatting>
  <conditionalFormatting sqref="O27">
    <cfRule type="expression" priority="20" aboveAverage="0" equalAverage="0" bottom="0" percent="0" rank="0" text="" dxfId="2">
      <formula>AND(ISNUMBER(O27),O27*O$7&gt;0)</formula>
    </cfRule>
    <cfRule type="expression" priority="21" aboveAverage="0" equalAverage="0" bottom="0" percent="0" rank="0" text="" dxfId="3">
      <formula>AND(ISNUMBER(O27),O27*O$7&lt;0)</formula>
    </cfRule>
  </conditionalFormatting>
  <conditionalFormatting sqref="P27">
    <cfRule type="expression" priority="22" aboveAverage="0" equalAverage="0" bottom="0" percent="0" rank="0" text="" dxfId="2">
      <formula>AND(ISNUMBER(P27),P27*P$7&gt;0)</formula>
    </cfRule>
    <cfRule type="expression" priority="23" aboveAverage="0" equalAverage="0" bottom="0" percent="0" rank="0" text="" dxfId="3">
      <formula>AND(ISNUMBER(P27),P27*P$7&lt;0)</formula>
    </cfRule>
  </conditionalFormatting>
  <conditionalFormatting sqref="Q27">
    <cfRule type="expression" priority="24" aboveAverage="0" equalAverage="0" bottom="0" percent="0" rank="0" text="" dxfId="2">
      <formula>AND(ISNUMBER(Q27),Q27*Q$7&gt;0)</formula>
    </cfRule>
    <cfRule type="expression" priority="25" aboveAverage="0" equalAverage="0" bottom="0" percent="0" rank="0" text="" dxfId="3">
      <formula>AND(ISNUMBER(Q27),Q27*Q$7&lt;0)</formula>
    </cfRule>
  </conditionalFormatting>
  <conditionalFormatting sqref="R27">
    <cfRule type="expression" priority="26" aboveAverage="0" equalAverage="0" bottom="0" percent="0" rank="0" text="" dxfId="2">
      <formula>AND(ISNUMBER(R27),R27*R$7&gt;0)</formula>
    </cfRule>
    <cfRule type="expression" priority="27" aboveAverage="0" equalAverage="0" bottom="0" percent="0" rank="0" text="" dxfId="3">
      <formula>AND(ISNUMBER(R27),R27*R$7&lt;0)</formula>
    </cfRule>
  </conditionalFormatting>
  <conditionalFormatting sqref="S27">
    <cfRule type="expression" priority="28" aboveAverage="0" equalAverage="0" bottom="0" percent="0" rank="0" text="" dxfId="2">
      <formula>AND(ISNUMBER(S27),S27*S$7&gt;0)</formula>
    </cfRule>
    <cfRule type="expression" priority="29" aboveAverage="0" equalAverage="0" bottom="0" percent="0" rank="0" text="" dxfId="3">
      <formula>AND(ISNUMBER(S27),S27*S$7&lt;0)</formula>
    </cfRule>
  </conditionalFormatting>
  <conditionalFormatting sqref="T27">
    <cfRule type="expression" priority="30" aboveAverage="0" equalAverage="0" bottom="0" percent="0" rank="0" text="" dxfId="2">
      <formula>AND(ISNUMBER(T27),T27*T$7&gt;0)</formula>
    </cfRule>
    <cfRule type="expression" priority="31" aboveAverage="0" equalAverage="0" bottom="0" percent="0" rank="0" text="" dxfId="3">
      <formula>AND(ISNUMBER(T27),T27*T$7&lt;0)</formula>
    </cfRule>
  </conditionalFormatting>
  <conditionalFormatting sqref="U27">
    <cfRule type="expression" priority="32" aboveAverage="0" equalAverage="0" bottom="0" percent="0" rank="0" text="" dxfId="2">
      <formula>AND(ISNUMBER(U27),U27*U$7&gt;0)</formula>
    </cfRule>
    <cfRule type="expression" priority="33" aboveAverage="0" equalAverage="0" bottom="0" percent="0" rank="0" text="" dxfId="3">
      <formula>AND(ISNUMBER(U27),U27*U$7&lt;0)</formula>
    </cfRule>
  </conditionalFormatting>
  <conditionalFormatting sqref="V27">
    <cfRule type="expression" priority="34" aboveAverage="0" equalAverage="0" bottom="0" percent="0" rank="0" text="" dxfId="2">
      <formula>AND(ISNUMBER(V27),V27*V$7&gt;0)</formula>
    </cfRule>
    <cfRule type="expression" priority="35" aboveAverage="0" equalAverage="0" bottom="0" percent="0" rank="0" text="" dxfId="3">
      <formula>AND(ISNUMBER(V27),V27*V$7&lt;0)</formula>
    </cfRule>
  </conditionalFormatting>
  <conditionalFormatting sqref="X27">
    <cfRule type="expression" priority="36" aboveAverage="0" equalAverage="0" bottom="0" percent="0" rank="0" text="" dxfId="2">
      <formula>AND(ISNUMBER(X27),X27*X$7&gt;0)</formula>
    </cfRule>
    <cfRule type="expression" priority="37" aboveAverage="0" equalAverage="0" bottom="0" percent="0" rank="0" text="" dxfId="3">
      <formula>AND(ISNUMBER(X27),X27*X$7&lt;0)</formula>
    </cfRule>
  </conditionalFormatting>
  <conditionalFormatting sqref="Y27">
    <cfRule type="expression" priority="38" aboveAverage="0" equalAverage="0" bottom="0" percent="0" rank="0" text="" dxfId="2">
      <formula>AND(ISNUMBER(Y27),Y27*Y$7&gt;0)</formula>
    </cfRule>
    <cfRule type="expression" priority="39" aboveAverage="0" equalAverage="0" bottom="0" percent="0" rank="0" text="" dxfId="3">
      <formula>AND(ISNUMBER(Y27),Y27*Y$7&lt;0)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25" min="4" style="0" width="13.5"/>
  </cols>
  <sheetData>
    <row r="1" customFormat="false" ht="18.55" hidden="false" customHeight="false" outlineLevel="0" collapsed="false">
      <c r="A1" s="5" t="s">
        <v>118</v>
      </c>
    </row>
    <row r="2" customFormat="false" ht="15" hidden="false" customHeight="false" outlineLevel="0" collapsed="false">
      <c r="A2" s="6" t="s">
        <v>119</v>
      </c>
    </row>
    <row r="3" customFormat="false" ht="15" hidden="false" customHeight="false" outlineLevel="0" collapsed="false">
      <c r="A3" s="6" t="s">
        <v>58</v>
      </c>
    </row>
    <row r="5" customFormat="false" ht="15" hidden="false" customHeight="true" outlineLevel="0" collapsed="false">
      <c r="D5" s="17" t="s">
        <v>59</v>
      </c>
      <c r="E5" s="17"/>
      <c r="F5" s="17" t="s">
        <v>60</v>
      </c>
      <c r="G5" s="17"/>
      <c r="H5" s="17" t="s">
        <v>61</v>
      </c>
      <c r="I5" s="17"/>
      <c r="J5" s="17"/>
      <c r="K5" s="17"/>
      <c r="L5" s="17" t="s">
        <v>62</v>
      </c>
      <c r="M5" s="17"/>
      <c r="N5" s="17"/>
      <c r="O5" s="17"/>
      <c r="P5" s="17" t="s">
        <v>63</v>
      </c>
      <c r="Q5" s="17"/>
      <c r="R5" s="17"/>
      <c r="S5" s="17"/>
      <c r="T5" s="17"/>
      <c r="U5" s="17" t="s">
        <v>64</v>
      </c>
      <c r="V5" s="17"/>
      <c r="W5" s="17"/>
      <c r="X5" s="17"/>
      <c r="Y5" s="17"/>
    </row>
    <row r="6" customFormat="false" ht="55.5" hidden="false" customHeight="true" outlineLevel="0" collapsed="false">
      <c r="A6" s="7" t="s">
        <v>31</v>
      </c>
      <c r="B6" s="7" t="s">
        <v>65</v>
      </c>
      <c r="C6" s="7" t="s">
        <v>66</v>
      </c>
      <c r="D6" s="7" t="s">
        <v>67</v>
      </c>
      <c r="E6" s="7" t="s">
        <v>68</v>
      </c>
      <c r="F6" s="7" t="s">
        <v>39</v>
      </c>
      <c r="G6" s="7" t="s">
        <v>69</v>
      </c>
      <c r="H6" s="7" t="s">
        <v>70</v>
      </c>
      <c r="I6" s="7" t="s">
        <v>40</v>
      </c>
      <c r="J6" s="7" t="s">
        <v>72</v>
      </c>
      <c r="K6" s="7" t="s">
        <v>41</v>
      </c>
      <c r="L6" s="7" t="s">
        <v>43</v>
      </c>
      <c r="M6" s="7" t="s">
        <v>42</v>
      </c>
      <c r="N6" s="7" t="s">
        <v>73</v>
      </c>
      <c r="O6" s="7" t="s">
        <v>74</v>
      </c>
      <c r="P6" s="7" t="s">
        <v>75</v>
      </c>
      <c r="Q6" s="7" t="s">
        <v>76</v>
      </c>
      <c r="R6" s="7" t="s">
        <v>44</v>
      </c>
      <c r="S6" s="7" t="s">
        <v>45</v>
      </c>
      <c r="T6" s="7" t="s">
        <v>77</v>
      </c>
      <c r="U6" s="7" t="s">
        <v>78</v>
      </c>
      <c r="V6" s="7" t="s">
        <v>46</v>
      </c>
      <c r="W6" s="7" t="s">
        <v>79</v>
      </c>
      <c r="X6" s="7" t="s">
        <v>47</v>
      </c>
      <c r="Y6" s="7" t="s">
        <v>80</v>
      </c>
    </row>
    <row r="7" customFormat="false" ht="15" hidden="false" customHeight="false" outlineLevel="0" collapsed="false">
      <c r="A7" s="6" t="s">
        <v>81</v>
      </c>
      <c r="D7" s="18" t="n">
        <v>0</v>
      </c>
      <c r="E7" s="18" t="n">
        <v>0</v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-1</v>
      </c>
      <c r="Q7" s="18" t="n">
        <v>-1</v>
      </c>
      <c r="R7" s="18" t="n">
        <v>-1</v>
      </c>
      <c r="S7" s="18" t="n">
        <v>1</v>
      </c>
      <c r="T7" s="18" t="n">
        <v>1</v>
      </c>
      <c r="U7" s="18" t="n">
        <v>1</v>
      </c>
      <c r="V7" s="18" t="n">
        <v>1</v>
      </c>
      <c r="W7" s="18" t="n">
        <v>0</v>
      </c>
      <c r="X7" s="18" t="n">
        <v>1</v>
      </c>
      <c r="Y7" s="18" t="n">
        <v>1</v>
      </c>
    </row>
    <row r="8" customFormat="false" ht="15" hidden="false" customHeight="false" outlineLevel="0" collapsed="false">
      <c r="A8" s="19" t="s">
        <v>54</v>
      </c>
      <c r="B8" s="20" t="s">
        <v>120</v>
      </c>
      <c r="C8" s="20" t="s">
        <v>121</v>
      </c>
      <c r="D8" s="21" t="n">
        <f aca="false">Data!$I$23/Data!$H$23/1000</f>
        <v>7.64803273137698</v>
      </c>
      <c r="E8" s="21" t="n">
        <f aca="false">Data!$S$23/Data!$H$23/1000</f>
        <v>15.0713126410835</v>
      </c>
      <c r="F8" s="22" t="n">
        <f aca="false">IFERROR(Data!$I$23/Data!$AD$23-1,"n/a")</f>
        <v>0.000418258450356257</v>
      </c>
      <c r="G8" s="22" t="n">
        <f aca="false">IFERROR(IF(Data!$AI$23&lt;=0,"n.m.",Data!$N$23/Data!$AI$23-1),"n/a")</f>
        <v>-0.00737756574890403</v>
      </c>
      <c r="H8" s="22" t="str">
        <f aca="false">IF(Data!$K$23="","n/a",Data!$K$23/Data!$I$23)</f>
        <v>n/a</v>
      </c>
      <c r="I8" s="22" t="n">
        <f aca="false">IFERROR(Data!$N$23/Data!$I$23,"n/a")</f>
        <v>0.216170168430277</v>
      </c>
      <c r="J8" s="22" t="n">
        <f aca="false">IFERROR(Data!$L$23/Data!$I$23,"n/a")</f>
        <v>0.131520417841558</v>
      </c>
      <c r="K8" s="22" t="n">
        <f aca="false">IFERROR(Data!$Q$23/Data!$I$23,"n/a")</f>
        <v>0.0783181381423128</v>
      </c>
      <c r="L8" s="22" t="n">
        <f aca="false">IFERROR(Data!$N$23/AVERAGE(Data!$S$23,Data!$AN$23),"n/a")</f>
        <v>0.10836824486971</v>
      </c>
      <c r="M8" s="22" t="n">
        <f aca="false">IFERROR(Data!$Q$23/AVERAGE(Data!$U$23,Data!$AP$23),"n/a")</f>
        <v>0.0858107181095047</v>
      </c>
      <c r="N8" s="22" t="n">
        <f aca="false">IFERROR(Data!$Q$23/AVERAGE(Data!$S$23,Data!$AN$23),"n/a")</f>
        <v>0.0392616577651574</v>
      </c>
      <c r="O8" s="23" t="n">
        <f aca="false">IFERROR(Data!$I$23/AVERAGE(Data!$S$23,Data!$AN$23),"n/a")</f>
        <v>0.501309896997482</v>
      </c>
      <c r="P8" s="22" t="n">
        <f aca="false">IFERROR(Data!$T$23/Data!$S$23,"n/a")</f>
        <v>0.516464576273687</v>
      </c>
      <c r="Q8" s="22" t="n">
        <f aca="false">IFERROR(Data!$Z$23/Data!$U$23,"n/a")</f>
        <v>0.458094235524848</v>
      </c>
      <c r="R8" s="23" t="n">
        <f aca="false">IFERROR(IF(Data!$N$23&lt;=0,"n.m.",(Data!$Z$23-Data!$W$23)/Data!$N$23),"n/a")</f>
        <v>0.97754305527774</v>
      </c>
      <c r="S8" s="24" t="n">
        <f aca="false">IFERROR(IF(Data!$O$23&lt;=0,"n/a",Data!$L$23/Data!$O$23),"n/a")</f>
        <v>3.06671598905731</v>
      </c>
      <c r="T8" s="23" t="n">
        <f aca="false">IFERROR(Data!$X$23/Data!$Y$23,"n/a")</f>
        <v>1.44852782751603</v>
      </c>
      <c r="U8" s="22" t="n">
        <f aca="false">IFERROR(Data!$AA$23/Data!$I$23,"n/a")</f>
        <v>0.192705836066077</v>
      </c>
      <c r="V8" s="22" t="n">
        <f aca="false">IFERROR(IF(Data!$N$23&lt;=0,"n.m.",Data!$AA$23/Data!$N$23),"n/a")</f>
        <v>0.89145434573796</v>
      </c>
      <c r="W8" s="22" t="n">
        <f aca="false">IFERROR(Data!$AB$23/Data!$I$23,"n/a")</f>
        <v>0.0557640562342342</v>
      </c>
      <c r="X8" s="22" t="n">
        <f aca="false">IFERROR((Data!$AA$23-Data!$AB$23)/Data!$I$23,"n/a")</f>
        <v>0.136941779831843</v>
      </c>
      <c r="Y8" s="25" t="n">
        <f aca="false">(Data!$AA$23-Data!$AB$23)/Data!$H$23/1000</f>
        <v>1.04733521444695</v>
      </c>
    </row>
    <row r="9" customFormat="false" ht="15" hidden="false" customHeight="false" outlineLevel="0" collapsed="false">
      <c r="A9" s="19" t="s">
        <v>55</v>
      </c>
      <c r="B9" s="20" t="s">
        <v>122</v>
      </c>
      <c r="C9" s="20" t="s">
        <v>83</v>
      </c>
      <c r="D9" s="21" t="n">
        <f aca="false">Data!$I$24/Data!$H$24/1000</f>
        <v>1.03990489549726</v>
      </c>
      <c r="E9" s="21" t="n">
        <f aca="false">Data!$S$24/Data!$H$24/1000</f>
        <v>1.11780894936176</v>
      </c>
      <c r="F9" s="22" t="n">
        <f aca="false">IFERROR(Data!$I$24/Data!$AD$24-1,"n/a")</f>
        <v>0.105145531927581</v>
      </c>
      <c r="G9" s="22" t="n">
        <f aca="false">IFERROR(IF(Data!$AI$24&lt;=0,"n.m.",Data!$N$24/Data!$AI$24-1),"n/a")</f>
        <v>-0.0437125528277962</v>
      </c>
      <c r="H9" s="22" t="n">
        <f aca="false">IF(Data!$K$24="","n/a",Data!$K$24/Data!$I$24)</f>
        <v>0.148047300849992</v>
      </c>
      <c r="I9" s="22" t="n">
        <f aca="false">IFERROR(Data!$N$24/Data!$I$24,"n/a")</f>
        <v>0.080669785129309</v>
      </c>
      <c r="J9" s="22" t="n">
        <f aca="false">IFERROR(Data!$L$24/Data!$I$24,"n/a")</f>
        <v>0.0391055107438043</v>
      </c>
      <c r="K9" s="22" t="n">
        <f aca="false">IFERROR(Data!$Q$24/Data!$I$24,"n/a")</f>
        <v>0.0317810173411091</v>
      </c>
      <c r="L9" s="22" t="n">
        <f aca="false">IFERROR(Data!$N$24/AVERAGE(Data!$S$24,Data!$AN$24),"n/a")</f>
        <v>0.0782060332823266</v>
      </c>
      <c r="M9" s="22" t="n">
        <f aca="false">IFERROR(Data!$Q$24/AVERAGE(Data!$U$24,Data!$AP$24),"n/a")</f>
        <v>0.0692639369096339</v>
      </c>
      <c r="N9" s="22" t="n">
        <f aca="false">IFERROR(Data!$Q$24/AVERAGE(Data!$S$24,Data!$AN$24),"n/a")</f>
        <v>0.0308103870109597</v>
      </c>
      <c r="O9" s="23" t="n">
        <f aca="false">IFERROR(Data!$I$24/AVERAGE(Data!$S$24,Data!$AN$24),"n/a")</f>
        <v>0.969458802412413</v>
      </c>
      <c r="P9" s="22" t="n">
        <f aca="false">IFERROR(Data!$T$24/Data!$S$24,"n/a")</f>
        <v>0.558390158692712</v>
      </c>
      <c r="Q9" s="22" t="n">
        <f aca="false">IFERROR(Data!$Z$24/Data!$U$24,"n/a")</f>
        <v>0.374802046075632</v>
      </c>
      <c r="R9" s="23" t="n">
        <f aca="false">IFERROR(IF(Data!$N$24&lt;=0,"n.m.",(Data!$Z$24-Data!$W$24)/Data!$N$24),"n/a")</f>
        <v>0.402052357351633</v>
      </c>
      <c r="S9" s="24" t="n">
        <f aca="false">IFERROR(IF(Data!$O$24&lt;=0,"n/a",Data!$L$24/Data!$O$24),"n/a")</f>
        <v>9.8337234150809</v>
      </c>
      <c r="T9" s="23" t="n">
        <f aca="false">IFERROR(Data!$X$24/Data!$Y$24,"n/a")</f>
        <v>1.16362006758269</v>
      </c>
      <c r="U9" s="22" t="n">
        <f aca="false">IFERROR(Data!$AA$24/Data!$I$24,"n/a")</f>
        <v>0.066891644169366</v>
      </c>
      <c r="V9" s="22" t="n">
        <f aca="false">IFERROR(IF(Data!$N$24&lt;=0,"n.m.",Data!$AA$24/Data!$N$24),"n/a")</f>
        <v>0.829203202439954</v>
      </c>
      <c r="W9" s="22" t="n">
        <f aca="false">IFERROR(Data!$AB$24/Data!$I$24,"n/a")</f>
        <v>0.0548839263385276</v>
      </c>
      <c r="X9" s="22" t="n">
        <f aca="false">IFERROR((Data!$AA$24-Data!$AB$24)/Data!$I$24,"n/a")</f>
        <v>0.0120077178308385</v>
      </c>
      <c r="Y9" s="25" t="n">
        <f aca="false">(Data!$AA$24-Data!$AB$24)/Data!$H$24/1000</f>
        <v>0.0124868845560387</v>
      </c>
    </row>
    <row r="10" customFormat="false" ht="15" hidden="false" customHeight="false" outlineLevel="0" collapsed="false">
      <c r="A10" s="10" t="s">
        <v>123</v>
      </c>
      <c r="B10" s="10" t="s">
        <v>124</v>
      </c>
      <c r="C10" s="10" t="s">
        <v>121</v>
      </c>
      <c r="D10" s="26" t="n">
        <f aca="false">Data!$I$25/Data!$H$25/1000</f>
        <v>29.3363431151242</v>
      </c>
      <c r="E10" s="26" t="n">
        <f aca="false">Data!$S$25/Data!$H$25/1000</f>
        <v>39.5237020316027</v>
      </c>
      <c r="F10" s="11" t="n">
        <f aca="false">IFERROR(Data!$I$25/Data!$AD$25-1,"n/a")</f>
        <v>-0.0441657779575626</v>
      </c>
      <c r="G10" s="11" t="n">
        <f aca="false">IFERROR(IF(Data!$AI$25&lt;=0,"n.m.",Data!$N$25/Data!$AI$25-1),"n/a")</f>
        <v>-0.0661031642826181</v>
      </c>
      <c r="H10" s="11" t="n">
        <f aca="false">IF(Data!$K$25="","n/a",Data!$K$25/Data!$I$25)</f>
        <v>0.270044629116651</v>
      </c>
      <c r="I10" s="11" t="n">
        <f aca="false">IFERROR(Data!$N$25/Data!$I$25,"n/a")</f>
        <v>0.165781779008926</v>
      </c>
      <c r="J10" s="11" t="n">
        <f aca="false">IFERROR(Data!$L$25/Data!$I$25,"n/a")</f>
        <v>0.0910280086180363</v>
      </c>
      <c r="K10" s="11" t="n">
        <f aca="false">IFERROR(Data!$Q$25/Data!$I$25,"n/a")</f>
        <v>0.0640196983687288</v>
      </c>
      <c r="L10" s="11" t="n">
        <f aca="false">IFERROR(Data!$N$25/AVERAGE(Data!$S$25,Data!$AN$25),"n/a")</f>
        <v>0.119082492745613</v>
      </c>
      <c r="M10" s="11" t="n">
        <f aca="false">IFERROR(Data!$Q$25/AVERAGE(Data!$U$25,Data!$AP$25),"n/a")</f>
        <v>0.0906564968673386</v>
      </c>
      <c r="N10" s="11" t="n">
        <f aca="false">IFERROR(Data!$Q$25/AVERAGE(Data!$S$25,Data!$AN$25),"n/a")</f>
        <v>0.0459859057620561</v>
      </c>
      <c r="O10" s="15" t="n">
        <f aca="false">IFERROR(Data!$I$25/AVERAGE(Data!$S$25,Data!$AN$25),"n/a")</f>
        <v>0.718308691446732</v>
      </c>
      <c r="P10" s="11" t="n">
        <f aca="false">IFERROR(Data!$T$25/Data!$S$25,"n/a")</f>
        <v>0.483808327146039</v>
      </c>
      <c r="Q10" s="11" t="n">
        <f aca="false">IFERROR(Data!$Z$25/Data!$U$25,"n/a")</f>
        <v>0.367614516485948</v>
      </c>
      <c r="R10" s="15" t="n">
        <f aca="false">IFERROR(IF(Data!$N$25&lt;=0,"n.m.",(Data!$Z$25-Data!$W$25)/Data!$N$25),"n/a")</f>
        <v>0.64237642144349</v>
      </c>
      <c r="S10" s="16" t="n">
        <f aca="false">IFERROR(IF(Data!$O$25&lt;=0,"n/a",Data!$L$25/Data!$O$25),"n/a")</f>
        <v>9.1</v>
      </c>
      <c r="T10" s="15" t="n">
        <f aca="false">IFERROR(Data!$X$25/Data!$Y$25,"n/a")</f>
        <v>1.90203918432627</v>
      </c>
      <c r="U10" s="11" t="n">
        <f aca="false">IFERROR(Data!$AA$25/Data!$I$25,"n/a")</f>
        <v>0.146929824561404</v>
      </c>
      <c r="V10" s="11" t="n">
        <f aca="false">IFERROR(IF(Data!$N$25&lt;=0,"n.m.",Data!$AA$25/Data!$N$25),"n/a")</f>
        <v>0.88628452077048</v>
      </c>
      <c r="W10" s="11" t="n">
        <f aca="false">IFERROR(Data!$AB$25/Data!$I$25,"n/a")</f>
        <v>0.0776008002462296</v>
      </c>
      <c r="X10" s="11" t="n">
        <f aca="false">IFERROR((Data!$AA$25-Data!$AB$25)/Data!$I$25,"n/a")</f>
        <v>0.0693290243151739</v>
      </c>
      <c r="Y10" s="27" t="n">
        <f aca="false">(Data!$AA$25-Data!$AB$25)/Data!$H$25/1000</f>
        <v>2.03386004514673</v>
      </c>
    </row>
    <row r="11" customFormat="false" ht="15" hidden="false" customHeight="false" outlineLevel="0" collapsed="false">
      <c r="A11" s="10" t="s">
        <v>125</v>
      </c>
      <c r="B11" s="10" t="s">
        <v>124</v>
      </c>
      <c r="C11" s="10" t="s">
        <v>126</v>
      </c>
      <c r="D11" s="26" t="n">
        <f aca="false">Data!$I$26/Data!$H$26/1000</f>
        <v>29.6023043199316</v>
      </c>
      <c r="E11" s="26" t="n">
        <f aca="false">Data!$S$26/Data!$H$26/1000</f>
        <v>38.4122714392643</v>
      </c>
      <c r="F11" s="11" t="n">
        <f aca="false">IFERROR(Data!$I$26/Data!$AD$26-1,"n/a")</f>
        <v>-0.000145369310281307</v>
      </c>
      <c r="G11" s="11" t="n">
        <f aca="false">IFERROR(IF(Data!$AI$26&lt;=0,"n.m.",Data!$N$26/Data!$AI$26-1),"n/a")</f>
        <v>-0.0719138918619066</v>
      </c>
      <c r="H11" s="11" t="n">
        <f aca="false">IF(Data!$K$26="","n/a",Data!$K$26/Data!$I$26)</f>
        <v>0.385298903792162</v>
      </c>
      <c r="I11" s="11" t="n">
        <f aca="false">IFERROR(Data!$N$26/Data!$I$26,"n/a")</f>
        <v>0.165814191010536</v>
      </c>
      <c r="J11" s="11" t="n">
        <f aca="false">IFERROR(Data!$L$26/Data!$I$26,"n/a")</f>
        <v>0.0860686604121684</v>
      </c>
      <c r="K11" s="11" t="n">
        <f aca="false">IFERROR(Data!$Q$26/Data!$I$26,"n/a")</f>
        <v>0.0754718642396396</v>
      </c>
      <c r="L11" s="11" t="n">
        <f aca="false">IFERROR(Data!$N$26/AVERAGE(Data!$S$26,Data!$AN$26),"n/a")</f>
        <v>0.128053663332468</v>
      </c>
      <c r="M11" s="11" t="n">
        <f aca="false">IFERROR(Data!$Q$26/AVERAGE(Data!$U$26,Data!$AP$26),"n/a")</f>
        <v>0.0890706780475692</v>
      </c>
      <c r="N11" s="11" t="n">
        <f aca="false">IFERROR(Data!$Q$26/AVERAGE(Data!$S$26,Data!$AN$26),"n/a")</f>
        <v>0.0582848104587288</v>
      </c>
      <c r="O11" s="15" t="n">
        <f aca="false">IFERROR(Data!$I$26/AVERAGE(Data!$S$26,Data!$AN$26),"n/a")</f>
        <v>0.772272038672079</v>
      </c>
      <c r="P11" s="11" t="n">
        <f aca="false">IFERROR(Data!$T$26/Data!$S$26,"n/a")</f>
        <v>0.352804641156775</v>
      </c>
      <c r="Q11" s="11" t="n">
        <f aca="false">IFERROR(Data!$Z$26/Data!$U$26,"n/a")</f>
        <v>0.222322553797319</v>
      </c>
      <c r="R11" s="15" t="n">
        <f aca="false">IFERROR(IF(Data!$N$26&lt;=0,"n.m.",(Data!$Z$26-Data!$W$26)/Data!$N$26),"n/a")</f>
        <v>0.154132390062985</v>
      </c>
      <c r="S11" s="16" t="n">
        <f aca="false">IFERROR(IF(Data!$O$26&lt;=0,"n/a",Data!$L$26/Data!$O$26),"n/a")</f>
        <v>8.66073740884618</v>
      </c>
      <c r="T11" s="15" t="n">
        <f aca="false">IFERROR(Data!$X$26/Data!$Y$26,"n/a")</f>
        <v>2.55036903623022</v>
      </c>
      <c r="U11" s="11" t="n">
        <f aca="false">IFERROR(Data!$AA$26/Data!$I$26,"n/a")</f>
        <v>0.149102417183886</v>
      </c>
      <c r="V11" s="11" t="n">
        <f aca="false">IFERROR(IF(Data!$N$26&lt;=0,"n.m.",Data!$AA$26/Data!$N$26),"n/a")</f>
        <v>0.899213850607108</v>
      </c>
      <c r="W11" s="11" t="n">
        <f aca="false">IFERROR(Data!$AB$26/Data!$I$26,"n/a")</f>
        <v>0.0648285611854469</v>
      </c>
      <c r="X11" s="11" t="n">
        <f aca="false">IFERROR((Data!$AA$26-Data!$AB$26)/Data!$I$26,"n/a")</f>
        <v>0.0842738559984395</v>
      </c>
      <c r="Y11" s="27" t="n">
        <f aca="false">(Data!$AA$26-Data!$AB$26)/Data!$H$26/1000</f>
        <v>2.4947003314799</v>
      </c>
    </row>
    <row r="12" customFormat="false" ht="15" hidden="false" customHeight="false" outlineLevel="0" collapsed="false">
      <c r="A12" s="10" t="s">
        <v>127</v>
      </c>
      <c r="B12" s="10" t="s">
        <v>124</v>
      </c>
      <c r="C12" s="10" t="s">
        <v>101</v>
      </c>
      <c r="D12" s="26" t="n">
        <f aca="false">Data!$I$27/Data!$H$27/1000</f>
        <v>18.28</v>
      </c>
      <c r="E12" s="26" t="n">
        <f aca="false">Data!$S$27/Data!$H$27/1000</f>
        <v>18.208</v>
      </c>
      <c r="F12" s="11" t="n">
        <f aca="false">IFERROR(Data!$I$27/Data!$AD$27-1,"n/a")</f>
        <v>-0.0316770844369106</v>
      </c>
      <c r="G12" s="11" t="n">
        <f aca="false">IFERROR(IF(Data!$AI$27&lt;=0,"n.m.",Data!$N$27/Data!$AI$27-1),"n/a")</f>
        <v>-0.524110218140069</v>
      </c>
      <c r="H12" s="11" t="n">
        <f aca="false">IF(Data!$K$27="","n/a",Data!$K$27/Data!$I$27)</f>
        <v>0.184409190371991</v>
      </c>
      <c r="I12" s="11" t="n">
        <f aca="false">IFERROR(Data!$N$27/Data!$I$27,"n/a")</f>
        <v>0.0453501094091904</v>
      </c>
      <c r="J12" s="11" t="n">
        <f aca="false">IFERROR(Data!$L$27/Data!$I$27,"n/a")</f>
        <v>-0.0118161925601751</v>
      </c>
      <c r="K12" s="11" t="n">
        <f aca="false">IFERROR(Data!$Q$27/Data!$I$27,"n/a")</f>
        <v>-0.0929978118161926</v>
      </c>
      <c r="L12" s="11" t="n">
        <f aca="false">IFERROR(Data!$N$27/AVERAGE(Data!$S$27,Data!$AN$27),"n/a")</f>
        <v>0.0423726647754862</v>
      </c>
      <c r="M12" s="11" t="n">
        <f aca="false">IFERROR(Data!$Q$27/AVERAGE(Data!$U$27,Data!$AP$27),"n/a")</f>
        <v>-0.413323608071967</v>
      </c>
      <c r="N12" s="11" t="n">
        <f aca="false">IFERROR(Data!$Q$27/AVERAGE(Data!$S$27,Data!$AN$27),"n/a")</f>
        <v>-0.0868920749316364</v>
      </c>
      <c r="O12" s="15" t="n">
        <f aca="false">IFERROR(Data!$I$27/AVERAGE(Data!$S$27,Data!$AN$27),"n/a")</f>
        <v>0.934345370441361</v>
      </c>
      <c r="P12" s="11" t="n">
        <f aca="false">IFERROR(Data!$T$27/Data!$S$27,"n/a")</f>
        <v>0.813104130052724</v>
      </c>
      <c r="Q12" s="11" t="n">
        <f aca="false">IFERROR(Data!$Z$27/Data!$U$27,"n/a")</f>
        <v>1.82133411695563</v>
      </c>
      <c r="R12" s="15" t="n">
        <f aca="false">IFERROR(IF(Data!$N$27&lt;=0,"n.m.",(Data!$Z$27-Data!$W$27)/Data!$N$27),"n/a")</f>
        <v>6.5102533172497</v>
      </c>
      <c r="S12" s="16" t="n">
        <f aca="false">IFERROR(IF(Data!$O$27&lt;=0,"n/a",Data!$L$27/Data!$O$27),"n/a")</f>
        <v>-0.485393258426966</v>
      </c>
      <c r="T12" s="15" t="n">
        <f aca="false">IFERROR(Data!$X$27/Data!$Y$27,"n/a")</f>
        <v>1.06428782070186</v>
      </c>
      <c r="U12" s="11" t="n">
        <f aca="false">IFERROR(Data!$AA$27/Data!$I$27,"n/a")</f>
        <v>0.0435448577680525</v>
      </c>
      <c r="V12" s="11" t="n">
        <f aca="false">IFERROR(IF(Data!$N$27&lt;=0,"n.m.",Data!$AA$27/Data!$N$27),"n/a")</f>
        <v>0.960193003618818</v>
      </c>
      <c r="W12" s="11" t="n">
        <f aca="false">IFERROR(Data!$AB$27/Data!$I$27,"n/a")</f>
        <v>0.0451859956236324</v>
      </c>
      <c r="X12" s="11" t="n">
        <f aca="false">IFERROR((Data!$AA$27-Data!$AB$27)/Data!$I$27,"n/a")</f>
        <v>-0.00164113785557987</v>
      </c>
      <c r="Y12" s="27" t="n">
        <f aca="false">(Data!$AA$27-Data!$AB$27)/Data!$H$27/1000</f>
        <v>-0.03</v>
      </c>
    </row>
    <row r="13" customFormat="false" ht="15" hidden="false" customHeight="false" outlineLevel="0" collapsed="false">
      <c r="A13" s="10" t="s">
        <v>128</v>
      </c>
      <c r="B13" s="10" t="s">
        <v>129</v>
      </c>
      <c r="C13" s="10" t="s">
        <v>83</v>
      </c>
      <c r="D13" s="26" t="n">
        <f aca="false">Data!$I$28/Data!$H$28/1000</f>
        <v>3.45660793940244</v>
      </c>
      <c r="E13" s="26" t="n">
        <f aca="false">Data!$S$28/Data!$H$28/1000</f>
        <v>6.64540678917099</v>
      </c>
      <c r="F13" s="11" t="n">
        <f aca="false">IFERROR(Data!$I$28/Data!$AD$28-1,"n/a")</f>
        <v>0.117155959131087</v>
      </c>
      <c r="G13" s="11" t="n">
        <f aca="false">IFERROR(IF(Data!$AI$28&lt;=0,"n.m.",Data!$N$28/Data!$AI$28-1),"n/a")</f>
        <v>-0.212289230376841</v>
      </c>
      <c r="H13" s="11" t="n">
        <f aca="false">IF(Data!$K$28="","n/a",Data!$K$28/Data!$I$28)</f>
        <v>0.170305457825569</v>
      </c>
      <c r="I13" s="11" t="n">
        <f aca="false">IFERROR(Data!$N$28/Data!$I$28,"n/a")</f>
        <v>0.125330622423572</v>
      </c>
      <c r="J13" s="11" t="n">
        <f aca="false">IFERROR(Data!$L$28/Data!$I$28,"n/a")</f>
        <v>0.0492258023830543</v>
      </c>
      <c r="K13" s="11" t="n">
        <f aca="false">IFERROR(Data!$Q$28/Data!$I$28,"n/a")</f>
        <v>0.0555451758729897</v>
      </c>
      <c r="L13" s="11" t="n">
        <f aca="false">IFERROR(Data!$N$28/AVERAGE(Data!$S$28,Data!$AN$28),"n/a")</f>
        <v>0.0653921721169072</v>
      </c>
      <c r="M13" s="11" t="n">
        <f aca="false">IFERROR(Data!$Q$28/AVERAGE(Data!$U$28,Data!$AP$28),"n/a")</f>
        <v>0.0611129129303969</v>
      </c>
      <c r="N13" s="11" t="n">
        <f aca="false">IFERROR(Data!$Q$28/AVERAGE(Data!$S$28,Data!$AN$28),"n/a")</f>
        <v>0.0289811031870156</v>
      </c>
      <c r="O13" s="15" t="n">
        <f aca="false">IFERROR(Data!$I$28/AVERAGE(Data!$S$28,Data!$AN$28),"n/a")</f>
        <v>0.521757339526372</v>
      </c>
      <c r="P13" s="11" t="n">
        <f aca="false">IFERROR(Data!$T$28/Data!$S$28,"n/a")</f>
        <v>0.512225840977028</v>
      </c>
      <c r="Q13" s="11" t="n">
        <f aca="false">IFERROR(Data!$Z$28/Data!$U$28,"n/a")</f>
        <v>0.613356028158131</v>
      </c>
      <c r="R13" s="15" t="n">
        <f aca="false">IFERROR(IF(Data!$N$28&lt;=0,"n.m.",(Data!$Z$28-Data!$W$28)/Data!$N$28),"n/a")</f>
        <v>3.5103268114377</v>
      </c>
      <c r="S13" s="16" t="n">
        <f aca="false">IFERROR(IF(Data!$O$28&lt;=0,"n/a",Data!$L$28/Data!$O$28),"n/a")</f>
        <v>4.16997827402233</v>
      </c>
      <c r="T13" s="15" t="n">
        <f aca="false">IFERROR(Data!$X$28/Data!$Y$28,"n/a")</f>
        <v>0.889827452979828</v>
      </c>
      <c r="U13" s="11" t="n">
        <f aca="false">IFERROR(Data!$AA$28/Data!$I$28,"n/a")</f>
        <v>0.0807071361201401</v>
      </c>
      <c r="V13" s="11" t="n">
        <f aca="false">IFERROR(IF(Data!$N$28&lt;=0,"n.m.",Data!$AA$28/Data!$N$28),"n/a")</f>
        <v>0.643953844315713</v>
      </c>
      <c r="W13" s="11" t="n">
        <f aca="false">IFERROR(Data!$AB$28/Data!$I$28,"n/a")</f>
        <v>0.071627614756792</v>
      </c>
      <c r="X13" s="11" t="n">
        <f aca="false">IFERROR((Data!$AA$28-Data!$AB$28)/Data!$I$28,"n/a")</f>
        <v>0.00907952136334813</v>
      </c>
      <c r="Y13" s="27" t="n">
        <f aca="false">(Data!$AA$28-Data!$AB$28)/Data!$H$28/1000</f>
        <v>0.0313843456305232</v>
      </c>
    </row>
    <row r="14" customFormat="false" ht="15" hidden="false" customHeight="false" outlineLevel="0" collapsed="false">
      <c r="A14" s="10" t="s">
        <v>130</v>
      </c>
      <c r="B14" s="10" t="s">
        <v>129</v>
      </c>
      <c r="C14" s="10" t="s">
        <v>83</v>
      </c>
      <c r="D14" s="26" t="n">
        <f aca="false">Data!$I$29/Data!$H$29/1000</f>
        <v>5.16095300883714</v>
      </c>
      <c r="E14" s="26" t="n">
        <f aca="false">Data!$S$29/Data!$H$29/1000</f>
        <v>6.56058367232431</v>
      </c>
      <c r="F14" s="11" t="n">
        <f aca="false">IFERROR(Data!$I$29/Data!$AD$29-1,"n/a")</f>
        <v>0.156907902639261</v>
      </c>
      <c r="G14" s="11" t="n">
        <f aca="false">IFERROR(IF(Data!$AI$29&lt;=0,"n.m.",Data!$N$29/Data!$AI$29-1),"n/a")</f>
        <v>-0.0169060637524753</v>
      </c>
      <c r="H14" s="11" t="n">
        <f aca="false">IF(Data!$K$29="","n/a",Data!$K$29/Data!$I$29)</f>
        <v>0.24682419760541</v>
      </c>
      <c r="I14" s="11" t="n">
        <f aca="false">IFERROR(Data!$N$29/Data!$I$29,"n/a")</f>
        <v>0.181115606540192</v>
      </c>
      <c r="J14" s="11" t="n">
        <f aca="false">IFERROR(Data!$L$29/Data!$I$29,"n/a")</f>
        <v>0.1247823941194</v>
      </c>
      <c r="K14" s="11" t="n">
        <f aca="false">IFERROR(Data!$Q$29/Data!$I$29,"n/a")</f>
        <v>0.0983029282596525</v>
      </c>
      <c r="L14" s="11" t="n">
        <f aca="false">IFERROR(Data!$N$29/AVERAGE(Data!$S$29,Data!$AN$29),"n/a")</f>
        <v>0.153090680755598</v>
      </c>
      <c r="M14" s="11" t="n">
        <f aca="false">IFERROR(Data!$Q$29/AVERAGE(Data!$U$29,Data!$AP$29),"n/a")</f>
        <v>0.164666451212211</v>
      </c>
      <c r="N14" s="11" t="n">
        <f aca="false">IFERROR(Data!$Q$29/AVERAGE(Data!$S$29,Data!$AN$29),"n/a")</f>
        <v>0.083092023349182</v>
      </c>
      <c r="O14" s="15" t="n">
        <f aca="false">IFERROR(Data!$I$29/AVERAGE(Data!$S$29,Data!$AN$29),"n/a")</f>
        <v>0.845264986712367</v>
      </c>
      <c r="P14" s="11" t="n">
        <f aca="false">IFERROR(Data!$T$29/Data!$S$29,"n/a")</f>
        <v>0.500600176594595</v>
      </c>
      <c r="Q14" s="11" t="n">
        <f aca="false">IFERROR(Data!$Z$29/Data!$U$29,"n/a")</f>
        <v>0.516080999677614</v>
      </c>
      <c r="R14" s="15" t="n">
        <f aca="false">IFERROR(IF(Data!$N$29&lt;=0,"n.m.",(Data!$Z$29-Data!$W$29)/Data!$N$29),"n/a")</f>
        <v>1.12172500976937</v>
      </c>
      <c r="S14" s="16" t="n">
        <f aca="false">IFERROR(IF(Data!$O$29&lt;=0,"n/a",Data!$L$29/Data!$O$29),"n/a")</f>
        <v>9.6732249786142</v>
      </c>
      <c r="T14" s="15" t="n">
        <f aca="false">IFERROR(Data!$X$29/Data!$Y$29,"n/a")</f>
        <v>1.12723119407551</v>
      </c>
      <c r="U14" s="11" t="n">
        <f aca="false">IFERROR(Data!$AA$29/Data!$I$29,"n/a")</f>
        <v>0.113577644795123</v>
      </c>
      <c r="V14" s="11" t="n">
        <f aca="false">IFERROR(IF(Data!$N$29&lt;=0,"n.m.",Data!$AA$29/Data!$N$29),"n/a")</f>
        <v>0.627100264658408</v>
      </c>
      <c r="W14" s="11" t="n">
        <f aca="false">IFERROR(Data!$AB$29/Data!$I$29,"n/a")</f>
        <v>0.130943524964943</v>
      </c>
      <c r="X14" s="11" t="n">
        <f aca="false">IFERROR((Data!$AA$29-Data!$AB$29)/Data!$I$29,"n/a")</f>
        <v>-0.0173658801698197</v>
      </c>
      <c r="Y14" s="27" t="n">
        <f aca="false">(Data!$AA$29-Data!$AB$29)/Data!$H$29/1000</f>
        <v>-0.0896244915135363</v>
      </c>
    </row>
    <row r="15" customFormat="false" ht="15" hidden="false" customHeight="false" outlineLevel="0" collapsed="false">
      <c r="A15" s="10" t="s">
        <v>131</v>
      </c>
      <c r="B15" s="10" t="s">
        <v>129</v>
      </c>
      <c r="C15" s="10" t="s">
        <v>83</v>
      </c>
      <c r="D15" s="26" t="n">
        <f aca="false">Data!$I$30/Data!$H$30/1000</f>
        <v>6.30610604572872</v>
      </c>
      <c r="E15" s="26" t="n">
        <f aca="false">Data!$S$30/Data!$H$30/1000</f>
        <v>7.32515934913733</v>
      </c>
      <c r="F15" s="11" t="n">
        <f aca="false">IFERROR(Data!$I$30/Data!$AD$30-1,"n/a")</f>
        <v>0.145241309281589</v>
      </c>
      <c r="G15" s="11" t="n">
        <f aca="false">IFERROR(IF(Data!$AI$30&lt;=0,"n.m.",Data!$N$30/Data!$AI$30-1),"n/a")</f>
        <v>0.150363013699761</v>
      </c>
      <c r="H15" s="11" t="n">
        <f aca="false">IF(Data!$K$30="","n/a",Data!$K$30/Data!$I$30)</f>
        <v>0.196578961358637</v>
      </c>
      <c r="I15" s="11" t="n">
        <f aca="false">IFERROR(Data!$N$30/Data!$I$30,"n/a")</f>
        <v>0.154973826764388</v>
      </c>
      <c r="J15" s="11" t="n">
        <f aca="false">IFERROR(Data!$L$30/Data!$I$30,"n/a")</f>
        <v>0.106266762137306</v>
      </c>
      <c r="K15" s="11" t="n">
        <f aca="false">IFERROR(Data!$Q$30/Data!$I$30,"n/a")</f>
        <v>0.0922557118334878</v>
      </c>
      <c r="L15" s="11" t="n">
        <f aca="false">IFERROR(Data!$N$30/AVERAGE(Data!$S$30,Data!$AN$30),"n/a")</f>
        <v>0.143582937900263</v>
      </c>
      <c r="M15" s="11" t="n">
        <f aca="false">IFERROR(Data!$Q$30/AVERAGE(Data!$U$30,Data!$AP$30),"n/a")</f>
        <v>0.196146588121056</v>
      </c>
      <c r="N15" s="11" t="n">
        <f aca="false">IFERROR(Data!$Q$30/AVERAGE(Data!$S$30,Data!$AN$30),"n/a")</f>
        <v>0.0854747309251846</v>
      </c>
      <c r="O15" s="15" t="n">
        <f aca="false">IFERROR(Data!$I$30/AVERAGE(Data!$S$30,Data!$AN$30),"n/a")</f>
        <v>0.926497982904926</v>
      </c>
      <c r="P15" s="11" t="n">
        <f aca="false">IFERROR(Data!$T$30/Data!$S$30,"n/a")</f>
        <v>0.524863273076738</v>
      </c>
      <c r="Q15" s="11" t="n">
        <f aca="false">IFERROR(Data!$Z$30/Data!$U$30,"n/a")</f>
        <v>0.518385854991578</v>
      </c>
      <c r="R15" s="15" t="n">
        <f aca="false">IFERROR(IF(Data!$N$30&lt;=0,"n.m.",(Data!$Z$30-Data!$W$30)/Data!$N$30),"n/a")</f>
        <v>1.09371269487655</v>
      </c>
      <c r="S15" s="16" t="n">
        <f aca="false">IFERROR(IF(Data!$O$30&lt;=0,"n/a",Data!$L$30/Data!$O$30),"n/a")</f>
        <v>14.5661664268117</v>
      </c>
      <c r="T15" s="15" t="n">
        <f aca="false">IFERROR(Data!$X$30/Data!$Y$30,"n/a")</f>
        <v>1.07684346873374</v>
      </c>
      <c r="U15" s="11" t="n">
        <f aca="false">IFERROR(Data!$AA$30/Data!$I$30,"n/a")</f>
        <v>0.0423488579892042</v>
      </c>
      <c r="V15" s="11" t="n">
        <f aca="false">IFERROR(IF(Data!$N$30&lt;=0,"n.m.",Data!$AA$30/Data!$N$30),"n/a")</f>
        <v>0.273264581983824</v>
      </c>
      <c r="W15" s="11" t="n">
        <f aca="false">IFERROR(Data!$AB$30/Data!$I$30,"n/a")</f>
        <v>0.0779861656549048</v>
      </c>
      <c r="X15" s="11" t="n">
        <f aca="false">IFERROR((Data!$AA$30-Data!$AB$30)/Data!$I$30,"n/a")</f>
        <v>-0.0356373076657006</v>
      </c>
      <c r="Y15" s="27" t="n">
        <f aca="false">(Data!$AA$30-Data!$AB$30)/Data!$H$30/1000</f>
        <v>-0.224732641324169</v>
      </c>
    </row>
    <row r="16" customFormat="false" ht="15" hidden="false" customHeight="false" outlineLevel="0" collapsed="false">
      <c r="A16" s="10" t="s">
        <v>132</v>
      </c>
      <c r="B16" s="10" t="s">
        <v>133</v>
      </c>
      <c r="C16" s="10" t="s">
        <v>83</v>
      </c>
      <c r="D16" s="26" t="n">
        <f aca="false">Data!$I$31/Data!$H$31/1000</f>
        <v>5.92469518866601</v>
      </c>
      <c r="E16" s="26" t="n">
        <f aca="false">Data!$S$31/Data!$H$31/1000</f>
        <v>4.74596240706972</v>
      </c>
      <c r="F16" s="11" t="n">
        <f aca="false">IFERROR(Data!$I$31/Data!$AD$31-1,"n/a")</f>
        <v>0.00554673553094731</v>
      </c>
      <c r="G16" s="11" t="n">
        <f aca="false">IFERROR(IF(Data!$AI$31&lt;=0,"n.m.",Data!$N$31/Data!$AI$31-1),"n/a")</f>
        <v>0.0471738676952025</v>
      </c>
      <c r="H16" s="11" t="n">
        <f aca="false">IF(Data!$K$31="","n/a",Data!$K$31/Data!$I$31)</f>
        <v>0.0251530453568461</v>
      </c>
      <c r="I16" s="11" t="n">
        <f aca="false">IFERROR(Data!$N$31/Data!$I$31,"n/a")</f>
        <v>0.0232949418559282</v>
      </c>
      <c r="J16" s="11" t="n">
        <f aca="false">IFERROR(Data!$L$31/Data!$I$31,"n/a")</f>
        <v>0.00372567733733562</v>
      </c>
      <c r="K16" s="11" t="n">
        <f aca="false">IFERROR(Data!$Q$31/Data!$I$31,"n/a")</f>
        <v>-0.00741754557693663</v>
      </c>
      <c r="L16" s="11" t="n">
        <f aca="false">IFERROR(Data!$N$31/AVERAGE(Data!$S$31,Data!$AN$31),"n/a")</f>
        <v>0.0281504859876506</v>
      </c>
      <c r="M16" s="11" t="n">
        <f aca="false">IFERROR(Data!$Q$31/AVERAGE(Data!$U$31,Data!$AP$31),"n/a")</f>
        <v>-0.029347636702906</v>
      </c>
      <c r="N16" s="11" t="n">
        <f aca="false">IFERROR(Data!$Q$31/AVERAGE(Data!$S$31,Data!$AN$31),"n/a")</f>
        <v>-0.00896364172607611</v>
      </c>
      <c r="O16" s="15" t="n">
        <f aca="false">IFERROR(Data!$I$31/AVERAGE(Data!$S$31,Data!$AN$31),"n/a")</f>
        <v>1.20843770127234</v>
      </c>
      <c r="P16" s="11" t="n">
        <f aca="false">IFERROR(Data!$T$31/Data!$S$31,"n/a")</f>
        <v>0.702893299591304</v>
      </c>
      <c r="Q16" s="11" t="n">
        <f aca="false">IFERROR(Data!$Z$31/Data!$U$31,"n/a")</f>
        <v>1.71408119814992</v>
      </c>
      <c r="R16" s="15" t="n">
        <f aca="false">IFERROR(IF(Data!$N$31&lt;=0,"n.m.",(Data!$Z$31-Data!$W$31)/Data!$N$31),"n/a")</f>
        <v>12.1570313198741</v>
      </c>
      <c r="S16" s="16" t="n">
        <f aca="false">IFERROR(IF(Data!$O$31&lt;=0,"n/a",Data!$L$31/Data!$O$31),"n/a")</f>
        <v>0.231913319519319</v>
      </c>
      <c r="T16" s="15" t="n">
        <f aca="false">IFERROR(Data!$X$31/Data!$Y$31,"n/a")</f>
        <v>0.923276170454893</v>
      </c>
      <c r="U16" s="11" t="n">
        <f aca="false">IFERROR(Data!$AA$31/Data!$I$31,"n/a")</f>
        <v>0.0593039748513347</v>
      </c>
      <c r="V16" s="11" t="n">
        <f aca="false">IFERROR(IF(Data!$N$31&lt;=0,"n.m.",Data!$AA$31/Data!$N$31),"n/a")</f>
        <v>2.54578763141419</v>
      </c>
      <c r="W16" s="11" t="n">
        <f aca="false">IFERROR(Data!$AB$31/Data!$I$31,"n/a")</f>
        <v>0.01457155539275</v>
      </c>
      <c r="X16" s="11" t="n">
        <f aca="false">IFERROR((Data!$AA$31-Data!$AB$31)/Data!$I$31,"n/a")</f>
        <v>0.0447324194585847</v>
      </c>
      <c r="Y16" s="27" t="n">
        <f aca="false">(Data!$AA$31-Data!$AB$31)/Data!$H$31/1000</f>
        <v>0.265025950343667</v>
      </c>
    </row>
    <row r="18" customFormat="false" ht="15" hidden="false" customHeight="false" outlineLevel="0" collapsed="false">
      <c r="A18" s="28" t="s">
        <v>92</v>
      </c>
      <c r="B18" s="29"/>
      <c r="C18" s="29"/>
      <c r="D18" s="30" t="n">
        <f aca="false">IFERROR(MEDIAN(D10:D16),"n/a")</f>
        <v>6.30610604572872</v>
      </c>
      <c r="E18" s="30" t="n">
        <f aca="false">IFERROR(MEDIAN(E10:E16),"n/a")</f>
        <v>7.32515934913733</v>
      </c>
      <c r="F18" s="31" t="n">
        <f aca="false">IFERROR(MEDIAN(F10:F16),"n/a")</f>
        <v>0.00554673553094731</v>
      </c>
      <c r="G18" s="31" t="n">
        <f aca="false">IFERROR(MEDIAN(G10:G16),"n/a")</f>
        <v>-0.0661031642826181</v>
      </c>
      <c r="H18" s="31" t="n">
        <f aca="false">IFERROR(MEDIAN(H10:H16),"n/a")</f>
        <v>0.196578961358637</v>
      </c>
      <c r="I18" s="31" t="n">
        <f aca="false">IFERROR(MEDIAN(I10:I16),"n/a")</f>
        <v>0.154973826764388</v>
      </c>
      <c r="J18" s="31" t="n">
        <f aca="false">IFERROR(MEDIAN(J10:J16),"n/a")</f>
        <v>0.0860686604121684</v>
      </c>
      <c r="K18" s="31" t="n">
        <f aca="false">IFERROR(MEDIAN(K10:K16),"n/a")</f>
        <v>0.0640196983687288</v>
      </c>
      <c r="L18" s="31" t="n">
        <f aca="false">IFERROR(MEDIAN(L10:L16),"n/a")</f>
        <v>0.119082492745613</v>
      </c>
      <c r="M18" s="31" t="n">
        <f aca="false">IFERROR(MEDIAN(M10:M16),"n/a")</f>
        <v>0.0890706780475692</v>
      </c>
      <c r="N18" s="31" t="n">
        <f aca="false">IFERROR(MEDIAN(N10:N16),"n/a")</f>
        <v>0.0459859057620561</v>
      </c>
      <c r="O18" s="32" t="n">
        <f aca="false">IFERROR(MEDIAN(O10:O16),"n/a")</f>
        <v>0.845264986712367</v>
      </c>
      <c r="P18" s="31" t="n">
        <f aca="false">IFERROR(MEDIAN(P10:P16),"n/a")</f>
        <v>0.512225840977028</v>
      </c>
      <c r="Q18" s="31" t="n">
        <f aca="false">IFERROR(MEDIAN(Q10:Q16),"n/a")</f>
        <v>0.518385854991578</v>
      </c>
      <c r="R18" s="32" t="n">
        <f aca="false">IFERROR(MEDIAN(R10:R16),"n/a")</f>
        <v>1.12172500976937</v>
      </c>
      <c r="S18" s="33" t="n">
        <f aca="false">IFERROR(MEDIAN(S10:S16),"n/a")</f>
        <v>8.66073740884618</v>
      </c>
      <c r="T18" s="32" t="n">
        <f aca="false">IFERROR(MEDIAN(T10:T16),"n/a")</f>
        <v>1.07684346873374</v>
      </c>
      <c r="U18" s="31" t="n">
        <f aca="false">IFERROR(MEDIAN(U10:U16),"n/a")</f>
        <v>0.0807071361201401</v>
      </c>
      <c r="V18" s="31" t="n">
        <f aca="false">IFERROR(MEDIAN(V10:V16),"n/a")</f>
        <v>0.88628452077048</v>
      </c>
      <c r="W18" s="31" t="n">
        <f aca="false">IFERROR(MEDIAN(W10:W16),"n/a")</f>
        <v>0.071627614756792</v>
      </c>
      <c r="X18" s="31" t="n">
        <f aca="false">IFERROR(MEDIAN(X10:X16),"n/a")</f>
        <v>0.00907952136334813</v>
      </c>
      <c r="Y18" s="34" t="n">
        <f aca="false">IFERROR(MEDIAN(Y10:Y16),"n/a")</f>
        <v>0.0313843456305232</v>
      </c>
    </row>
    <row r="19" customFormat="false" ht="15" hidden="false" customHeight="false" outlineLevel="0" collapsed="false">
      <c r="A19" s="35" t="s">
        <v>93</v>
      </c>
      <c r="B19" s="29"/>
      <c r="C19" s="29"/>
      <c r="D19" s="36" t="n">
        <f aca="false">IFERROR(MAX(D10:D16),"n/a")</f>
        <v>29.6023043199316</v>
      </c>
      <c r="E19" s="36" t="n">
        <f aca="false">IFERROR(MAX(E10:E16),"n/a")</f>
        <v>39.5237020316027</v>
      </c>
      <c r="F19" s="37" t="n">
        <f aca="false">IFERROR(MAX(F10:F16),"n/a")</f>
        <v>0.156907902639261</v>
      </c>
      <c r="G19" s="37" t="n">
        <f aca="false">IFERROR(MAX(G10:G16),"n/a")</f>
        <v>0.150363013699761</v>
      </c>
      <c r="H19" s="37" t="n">
        <f aca="false">IFERROR(MAX(H10:H16),"n/a")</f>
        <v>0.385298903792162</v>
      </c>
      <c r="I19" s="37" t="n">
        <f aca="false">IFERROR(MAX(I10:I16),"n/a")</f>
        <v>0.181115606540192</v>
      </c>
      <c r="J19" s="37" t="n">
        <f aca="false">IFERROR(MAX(J10:J16),"n/a")</f>
        <v>0.1247823941194</v>
      </c>
      <c r="K19" s="37" t="n">
        <f aca="false">IFERROR(MAX(K10:K16),"n/a")</f>
        <v>0.0983029282596525</v>
      </c>
      <c r="L19" s="37" t="n">
        <f aca="false">IFERROR(MAX(L10:L16),"n/a")</f>
        <v>0.153090680755598</v>
      </c>
      <c r="M19" s="37" t="n">
        <f aca="false">IFERROR(MAX(M10:M16),"n/a")</f>
        <v>0.196146588121056</v>
      </c>
      <c r="N19" s="37" t="n">
        <f aca="false">IFERROR(MAX(N10:N16),"n/a")</f>
        <v>0.0854747309251846</v>
      </c>
      <c r="O19" s="38" t="n">
        <f aca="false">IFERROR(MAX(O10:O16),"n/a")</f>
        <v>1.20843770127234</v>
      </c>
      <c r="P19" s="37" t="n">
        <f aca="false">IFERROR(MAX(P10:P16),"n/a")</f>
        <v>0.813104130052724</v>
      </c>
      <c r="Q19" s="37" t="n">
        <f aca="false">IFERROR(MAX(Q10:Q16),"n/a")</f>
        <v>1.82133411695563</v>
      </c>
      <c r="R19" s="38" t="n">
        <f aca="false">IFERROR(MAX(R10:R16),"n/a")</f>
        <v>12.1570313198741</v>
      </c>
      <c r="S19" s="39" t="n">
        <f aca="false">IFERROR(MAX(S10:S16),"n/a")</f>
        <v>14.5661664268117</v>
      </c>
      <c r="T19" s="38" t="n">
        <f aca="false">IFERROR(MAX(T10:T16),"n/a")</f>
        <v>2.55036903623022</v>
      </c>
      <c r="U19" s="37" t="n">
        <f aca="false">IFERROR(MAX(U10:U16),"n/a")</f>
        <v>0.149102417183886</v>
      </c>
      <c r="V19" s="37" t="n">
        <f aca="false">IFERROR(MAX(V10:V16),"n/a")</f>
        <v>2.54578763141419</v>
      </c>
      <c r="W19" s="37" t="n">
        <f aca="false">IFERROR(MAX(W10:W16),"n/a")</f>
        <v>0.130943524964943</v>
      </c>
      <c r="X19" s="37" t="n">
        <f aca="false">IFERROR(MAX(X10:X16),"n/a")</f>
        <v>0.0842738559984395</v>
      </c>
      <c r="Y19" s="40" t="n">
        <f aca="false">IFERROR(MAX(Y10:Y16),"n/a")</f>
        <v>2.4947003314799</v>
      </c>
    </row>
    <row r="20" customFormat="false" ht="15" hidden="false" customHeight="false" outlineLevel="0" collapsed="false">
      <c r="A20" s="35" t="s">
        <v>94</v>
      </c>
      <c r="B20" s="29"/>
      <c r="C20" s="29"/>
      <c r="D20" s="36" t="n">
        <f aca="false">IFERROR(MIN(D10:D16),"n/a")</f>
        <v>3.45660793940244</v>
      </c>
      <c r="E20" s="36" t="n">
        <f aca="false">IFERROR(MIN(E10:E16),"n/a")</f>
        <v>4.74596240706972</v>
      </c>
      <c r="F20" s="37" t="n">
        <f aca="false">IFERROR(MIN(F10:F16),"n/a")</f>
        <v>-0.0441657779575626</v>
      </c>
      <c r="G20" s="37" t="n">
        <f aca="false">IFERROR(MIN(G10:G16),"n/a")</f>
        <v>-0.524110218140069</v>
      </c>
      <c r="H20" s="37" t="n">
        <f aca="false">IFERROR(MIN(H10:H16),"n/a")</f>
        <v>0.0251530453568461</v>
      </c>
      <c r="I20" s="37" t="n">
        <f aca="false">IFERROR(MIN(I10:I16),"n/a")</f>
        <v>0.0232949418559282</v>
      </c>
      <c r="J20" s="37" t="n">
        <f aca="false">IFERROR(MIN(J10:J16),"n/a")</f>
        <v>-0.0118161925601751</v>
      </c>
      <c r="K20" s="37" t="n">
        <f aca="false">IFERROR(MIN(K10:K16),"n/a")</f>
        <v>-0.0929978118161926</v>
      </c>
      <c r="L20" s="37" t="n">
        <f aca="false">IFERROR(MIN(L10:L16),"n/a")</f>
        <v>0.0281504859876506</v>
      </c>
      <c r="M20" s="37" t="n">
        <f aca="false">IFERROR(MIN(M10:M16),"n/a")</f>
        <v>-0.413323608071967</v>
      </c>
      <c r="N20" s="37" t="n">
        <f aca="false">IFERROR(MIN(N10:N16),"n/a")</f>
        <v>-0.0868920749316364</v>
      </c>
      <c r="O20" s="38" t="n">
        <f aca="false">IFERROR(MIN(O10:O16),"n/a")</f>
        <v>0.521757339526372</v>
      </c>
      <c r="P20" s="37" t="n">
        <f aca="false">IFERROR(MIN(P10:P16),"n/a")</f>
        <v>0.352804641156775</v>
      </c>
      <c r="Q20" s="37" t="n">
        <f aca="false">IFERROR(MIN(Q10:Q16),"n/a")</f>
        <v>0.222322553797319</v>
      </c>
      <c r="R20" s="38" t="n">
        <f aca="false">IFERROR(MIN(R10:R16),"n/a")</f>
        <v>0.154132390062985</v>
      </c>
      <c r="S20" s="39" t="n">
        <f aca="false">IFERROR(MIN(S10:S16),"n/a")</f>
        <v>-0.485393258426966</v>
      </c>
      <c r="T20" s="38" t="n">
        <f aca="false">IFERROR(MIN(T10:T16),"n/a")</f>
        <v>0.889827452979828</v>
      </c>
      <c r="U20" s="37" t="n">
        <f aca="false">IFERROR(MIN(U10:U16),"n/a")</f>
        <v>0.0423488579892042</v>
      </c>
      <c r="V20" s="37" t="n">
        <f aca="false">IFERROR(MIN(V10:V16),"n/a")</f>
        <v>0.273264581983824</v>
      </c>
      <c r="W20" s="37" t="n">
        <f aca="false">IFERROR(MIN(W10:W16),"n/a")</f>
        <v>0.01457155539275</v>
      </c>
      <c r="X20" s="37" t="n">
        <f aca="false">IFERROR(MIN(X10:X16),"n/a")</f>
        <v>-0.0356373076657006</v>
      </c>
      <c r="Y20" s="40" t="n">
        <f aca="false">IFERROR(MIN(Y10:Y16),"n/a")</f>
        <v>-0.224732641324169</v>
      </c>
    </row>
    <row r="21" customFormat="false" ht="15" hidden="false" customHeight="false" outlineLevel="0" collapsed="false">
      <c r="A21" s="28" t="s">
        <v>134</v>
      </c>
      <c r="B21" s="29"/>
      <c r="C21" s="29"/>
      <c r="D21" s="30" t="n">
        <f aca="false">IFERROR(MEDIAN(D10:D12),"n/a")</f>
        <v>29.3363431151242</v>
      </c>
      <c r="E21" s="30" t="n">
        <f aca="false">IFERROR(MEDIAN(E10:E12),"n/a")</f>
        <v>38.4122714392643</v>
      </c>
      <c r="F21" s="31" t="n">
        <f aca="false">IFERROR(MEDIAN(F10:F12),"n/a")</f>
        <v>-0.0316770844369106</v>
      </c>
      <c r="G21" s="31" t="n">
        <f aca="false">IFERROR(MEDIAN(G10:G12),"n/a")</f>
        <v>-0.0719138918619066</v>
      </c>
      <c r="H21" s="31" t="n">
        <f aca="false">IFERROR(MEDIAN(H10:H12),"n/a")</f>
        <v>0.270044629116651</v>
      </c>
      <c r="I21" s="31" t="n">
        <f aca="false">IFERROR(MEDIAN(I10:I12),"n/a")</f>
        <v>0.165781779008926</v>
      </c>
      <c r="J21" s="31" t="n">
        <f aca="false">IFERROR(MEDIAN(J10:J12),"n/a")</f>
        <v>0.0860686604121684</v>
      </c>
      <c r="K21" s="31" t="n">
        <f aca="false">IFERROR(MEDIAN(K10:K12),"n/a")</f>
        <v>0.0640196983687288</v>
      </c>
      <c r="L21" s="31" t="n">
        <f aca="false">IFERROR(MEDIAN(L10:L12),"n/a")</f>
        <v>0.119082492745613</v>
      </c>
      <c r="M21" s="31" t="n">
        <f aca="false">IFERROR(MEDIAN(M10:M12),"n/a")</f>
        <v>0.0890706780475692</v>
      </c>
      <c r="N21" s="31" t="n">
        <f aca="false">IFERROR(MEDIAN(N10:N12),"n/a")</f>
        <v>0.0459859057620561</v>
      </c>
      <c r="O21" s="32" t="n">
        <f aca="false">IFERROR(MEDIAN(O10:O12),"n/a")</f>
        <v>0.772272038672079</v>
      </c>
      <c r="P21" s="31" t="n">
        <f aca="false">IFERROR(MEDIAN(P10:P12),"n/a")</f>
        <v>0.483808327146039</v>
      </c>
      <c r="Q21" s="31" t="n">
        <f aca="false">IFERROR(MEDIAN(Q10:Q12),"n/a")</f>
        <v>0.367614516485948</v>
      </c>
      <c r="R21" s="32" t="n">
        <f aca="false">IFERROR(MEDIAN(R10:R12),"n/a")</f>
        <v>0.64237642144349</v>
      </c>
      <c r="S21" s="33" t="n">
        <f aca="false">IFERROR(MEDIAN(S10:S12),"n/a")</f>
        <v>8.66073740884618</v>
      </c>
      <c r="T21" s="32" t="n">
        <f aca="false">IFERROR(MEDIAN(T10:T12),"n/a")</f>
        <v>1.90203918432627</v>
      </c>
      <c r="U21" s="31" t="n">
        <f aca="false">IFERROR(MEDIAN(U10:U12),"n/a")</f>
        <v>0.146929824561404</v>
      </c>
      <c r="V21" s="31" t="n">
        <f aca="false">IFERROR(MEDIAN(V10:V12),"n/a")</f>
        <v>0.899213850607108</v>
      </c>
      <c r="W21" s="31" t="n">
        <f aca="false">IFERROR(MEDIAN(W10:W12),"n/a")</f>
        <v>0.0648285611854469</v>
      </c>
      <c r="X21" s="31" t="n">
        <f aca="false">IFERROR(MEDIAN(X10:X12),"n/a")</f>
        <v>0.0693290243151739</v>
      </c>
      <c r="Y21" s="34" t="n">
        <f aca="false">IFERROR(MEDIAN(Y10:Y12),"n/a")</f>
        <v>2.03386004514673</v>
      </c>
    </row>
    <row r="22" customFormat="false" ht="15" hidden="false" customHeight="false" outlineLevel="0" collapsed="false">
      <c r="A22" s="28" t="s">
        <v>135</v>
      </c>
      <c r="B22" s="29"/>
      <c r="C22" s="29"/>
      <c r="D22" s="30" t="n">
        <f aca="false">IFERROR(MEDIAN(D13:D15),"n/a")</f>
        <v>5.16095300883714</v>
      </c>
      <c r="E22" s="30" t="n">
        <f aca="false">IFERROR(MEDIAN(E13:E15),"n/a")</f>
        <v>6.64540678917099</v>
      </c>
      <c r="F22" s="31" t="n">
        <f aca="false">IFERROR(MEDIAN(F13:F15),"n/a")</f>
        <v>0.145241309281589</v>
      </c>
      <c r="G22" s="31" t="n">
        <f aca="false">IFERROR(MEDIAN(G13:G15),"n/a")</f>
        <v>-0.0169060637524753</v>
      </c>
      <c r="H22" s="31" t="n">
        <f aca="false">IFERROR(MEDIAN(H13:H15),"n/a")</f>
        <v>0.196578961358637</v>
      </c>
      <c r="I22" s="31" t="n">
        <f aca="false">IFERROR(MEDIAN(I13:I15),"n/a")</f>
        <v>0.154973826764388</v>
      </c>
      <c r="J22" s="31" t="n">
        <f aca="false">IFERROR(MEDIAN(J13:J15),"n/a")</f>
        <v>0.106266762137306</v>
      </c>
      <c r="K22" s="31" t="n">
        <f aca="false">IFERROR(MEDIAN(K13:K15),"n/a")</f>
        <v>0.0922557118334878</v>
      </c>
      <c r="L22" s="31" t="n">
        <f aca="false">IFERROR(MEDIAN(L13:L15),"n/a")</f>
        <v>0.143582937900263</v>
      </c>
      <c r="M22" s="31" t="n">
        <f aca="false">IFERROR(MEDIAN(M13:M15),"n/a")</f>
        <v>0.164666451212211</v>
      </c>
      <c r="N22" s="31" t="n">
        <f aca="false">IFERROR(MEDIAN(N13:N15),"n/a")</f>
        <v>0.083092023349182</v>
      </c>
      <c r="O22" s="32" t="n">
        <f aca="false">IFERROR(MEDIAN(O13:O15),"n/a")</f>
        <v>0.845264986712367</v>
      </c>
      <c r="P22" s="31" t="n">
        <f aca="false">IFERROR(MEDIAN(P13:P15),"n/a")</f>
        <v>0.512225840977028</v>
      </c>
      <c r="Q22" s="31" t="n">
        <f aca="false">IFERROR(MEDIAN(Q13:Q15),"n/a")</f>
        <v>0.518385854991578</v>
      </c>
      <c r="R22" s="32" t="n">
        <f aca="false">IFERROR(MEDIAN(R13:R15),"n/a")</f>
        <v>1.12172500976937</v>
      </c>
      <c r="S22" s="33" t="n">
        <f aca="false">IFERROR(MEDIAN(S13:S15),"n/a")</f>
        <v>9.6732249786142</v>
      </c>
      <c r="T22" s="32" t="n">
        <f aca="false">IFERROR(MEDIAN(T13:T15),"n/a")</f>
        <v>1.07684346873374</v>
      </c>
      <c r="U22" s="31" t="n">
        <f aca="false">IFERROR(MEDIAN(U13:U15),"n/a")</f>
        <v>0.0807071361201401</v>
      </c>
      <c r="V22" s="31" t="n">
        <f aca="false">IFERROR(MEDIAN(V13:V15),"n/a")</f>
        <v>0.627100264658408</v>
      </c>
      <c r="W22" s="31" t="n">
        <f aca="false">IFERROR(MEDIAN(W13:W15),"n/a")</f>
        <v>0.0779861656549048</v>
      </c>
      <c r="X22" s="31" t="n">
        <f aca="false">IFERROR(MEDIAN(X13:X15),"n/a")</f>
        <v>-0.0173658801698197</v>
      </c>
      <c r="Y22" s="34" t="n">
        <f aca="false">IFERROR(MEDIAN(Y13:Y15),"n/a")</f>
        <v>-0.0896244915135363</v>
      </c>
    </row>
    <row r="24" customFormat="false" ht="15" hidden="false" customHeight="false" outlineLevel="0" collapsed="false">
      <c r="A24" s="41" t="s">
        <v>136</v>
      </c>
      <c r="B24" s="42"/>
      <c r="C24" s="42"/>
      <c r="D24" s="43" t="n">
        <f aca="false">IFERROR(D8-D18,"n/a")</f>
        <v>1.34192668564826</v>
      </c>
      <c r="E24" s="43" t="n">
        <f aca="false">IFERROR(E8-E18,"n/a")</f>
        <v>7.7461532919462</v>
      </c>
      <c r="F24" s="44" t="n">
        <f aca="false">IFERROR(F8-F18,"n/a")</f>
        <v>-0.00512847708059105</v>
      </c>
      <c r="G24" s="44" t="n">
        <f aca="false">IFERROR(G8-G18,"n/a")</f>
        <v>0.0587255985337141</v>
      </c>
      <c r="H24" s="44" t="str">
        <f aca="false">IFERROR(H8-H18,"n/a")</f>
        <v>n/a</v>
      </c>
      <c r="I24" s="44" t="n">
        <f aca="false">IFERROR(I8-I18,"n/a")</f>
        <v>0.0611963416658885</v>
      </c>
      <c r="J24" s="44" t="n">
        <f aca="false">IFERROR(J8-J18,"n/a")</f>
        <v>0.0454517574293899</v>
      </c>
      <c r="K24" s="44" t="n">
        <f aca="false">IFERROR(K8-K18,"n/a")</f>
        <v>0.014298439773584</v>
      </c>
      <c r="L24" s="44" t="n">
        <f aca="false">IFERROR(L8-L18,"n/a")</f>
        <v>-0.0107142478759025</v>
      </c>
      <c r="M24" s="44" t="n">
        <f aca="false">IFERROR(M8-M18,"n/a")</f>
        <v>-0.00325995993806451</v>
      </c>
      <c r="N24" s="44" t="n">
        <f aca="false">IFERROR(N8-N18,"n/a")</f>
        <v>-0.00672424799689873</v>
      </c>
      <c r="O24" s="45" t="n">
        <f aca="false">IFERROR(O8-O18,"n/a")</f>
        <v>-0.343955089714886</v>
      </c>
      <c r="P24" s="44" t="n">
        <f aca="false">IFERROR(P8-P18,"n/a")</f>
        <v>0.00423873529665897</v>
      </c>
      <c r="Q24" s="44" t="n">
        <f aca="false">IFERROR(Q8-Q18,"n/a")</f>
        <v>-0.0602916194667297</v>
      </c>
      <c r="R24" s="45" t="n">
        <f aca="false">IFERROR(R8-R18,"n/a")</f>
        <v>-0.144181954491631</v>
      </c>
      <c r="S24" s="46" t="n">
        <f aca="false">IFERROR(S8-S18,"n/a")</f>
        <v>-5.59402141978887</v>
      </c>
      <c r="T24" s="45" t="n">
        <f aca="false">IFERROR(T8-T18,"n/a")</f>
        <v>0.371684358782293</v>
      </c>
      <c r="U24" s="44" t="n">
        <f aca="false">IFERROR(U8-U18,"n/a")</f>
        <v>0.111998699945937</v>
      </c>
      <c r="V24" s="44" t="n">
        <f aca="false">IFERROR(V8-V18,"n/a")</f>
        <v>0.00516982496747909</v>
      </c>
      <c r="W24" s="44" t="n">
        <f aca="false">IFERROR(W8-W18,"n/a")</f>
        <v>-0.0158635585225578</v>
      </c>
      <c r="X24" s="44" t="n">
        <f aca="false">IFERROR(X8-X18,"n/a")</f>
        <v>0.127862258468495</v>
      </c>
      <c r="Y24" s="47" t="n">
        <f aca="false">IFERROR(Y8-Y18,"n/a")</f>
        <v>1.01595086881643</v>
      </c>
    </row>
  </sheetData>
  <mergeCells count="6">
    <mergeCell ref="D5:E5"/>
    <mergeCell ref="F5:G5"/>
    <mergeCell ref="H5:K5"/>
    <mergeCell ref="L5:O5"/>
    <mergeCell ref="P5:T5"/>
    <mergeCell ref="U5:Y5"/>
  </mergeCells>
  <conditionalFormatting sqref="F24">
    <cfRule type="expression" priority="2" aboveAverage="0" equalAverage="0" bottom="0" percent="0" rank="0" text="" dxfId="2">
      <formula>AND(ISNUMBER(F24),F24*F$7&gt;0)</formula>
    </cfRule>
    <cfRule type="expression" priority="3" aboveAverage="0" equalAverage="0" bottom="0" percent="0" rank="0" text="" dxfId="3">
      <formula>AND(ISNUMBER(F24),F24*F$7&lt;0)</formula>
    </cfRule>
  </conditionalFormatting>
  <conditionalFormatting sqref="G24">
    <cfRule type="expression" priority="4" aboveAverage="0" equalAverage="0" bottom="0" percent="0" rank="0" text="" dxfId="2">
      <formula>AND(ISNUMBER(G24),G24*G$7&gt;0)</formula>
    </cfRule>
    <cfRule type="expression" priority="5" aboveAverage="0" equalAverage="0" bottom="0" percent="0" rank="0" text="" dxfId="3">
      <formula>AND(ISNUMBER(G24),G24*G$7&lt;0)</formula>
    </cfRule>
  </conditionalFormatting>
  <conditionalFormatting sqref="H24">
    <cfRule type="expression" priority="6" aboveAverage="0" equalAverage="0" bottom="0" percent="0" rank="0" text="" dxfId="2">
      <formula>AND(ISNUMBER(H24),H24*H$7&gt;0)</formula>
    </cfRule>
    <cfRule type="expression" priority="7" aboveAverage="0" equalAverage="0" bottom="0" percent="0" rank="0" text="" dxfId="3">
      <formula>AND(ISNUMBER(H24),H24*H$7&lt;0)</formula>
    </cfRule>
  </conditionalFormatting>
  <conditionalFormatting sqref="I24">
    <cfRule type="expression" priority="8" aboveAverage="0" equalAverage="0" bottom="0" percent="0" rank="0" text="" dxfId="2">
      <formula>AND(ISNUMBER(I24),I24*I$7&gt;0)</formula>
    </cfRule>
    <cfRule type="expression" priority="9" aboveAverage="0" equalAverage="0" bottom="0" percent="0" rank="0" text="" dxfId="3">
      <formula>AND(ISNUMBER(I24),I24*I$7&lt;0)</formula>
    </cfRule>
  </conditionalFormatting>
  <conditionalFormatting sqref="J24">
    <cfRule type="expression" priority="10" aboveAverage="0" equalAverage="0" bottom="0" percent="0" rank="0" text="" dxfId="2">
      <formula>AND(ISNUMBER(J24),J24*J$7&gt;0)</formula>
    </cfRule>
    <cfRule type="expression" priority="11" aboveAverage="0" equalAverage="0" bottom="0" percent="0" rank="0" text="" dxfId="3">
      <formula>AND(ISNUMBER(J24),J24*J$7&lt;0)</formula>
    </cfRule>
  </conditionalFormatting>
  <conditionalFormatting sqref="K24">
    <cfRule type="expression" priority="12" aboveAverage="0" equalAverage="0" bottom="0" percent="0" rank="0" text="" dxfId="2">
      <formula>AND(ISNUMBER(K24),K24*K$7&gt;0)</formula>
    </cfRule>
    <cfRule type="expression" priority="13" aboveAverage="0" equalAverage="0" bottom="0" percent="0" rank="0" text="" dxfId="3">
      <formula>AND(ISNUMBER(K24),K24*K$7&lt;0)</formula>
    </cfRule>
  </conditionalFormatting>
  <conditionalFormatting sqref="L24">
    <cfRule type="expression" priority="14" aboveAverage="0" equalAverage="0" bottom="0" percent="0" rank="0" text="" dxfId="2">
      <formula>AND(ISNUMBER(L24),L24*L$7&gt;0)</formula>
    </cfRule>
    <cfRule type="expression" priority="15" aboveAverage="0" equalAverage="0" bottom="0" percent="0" rank="0" text="" dxfId="3">
      <formula>AND(ISNUMBER(L24),L24*L$7&lt;0)</formula>
    </cfRule>
  </conditionalFormatting>
  <conditionalFormatting sqref="M24">
    <cfRule type="expression" priority="16" aboveAverage="0" equalAverage="0" bottom="0" percent="0" rank="0" text="" dxfId="2">
      <formula>AND(ISNUMBER(M24),M24*M$7&gt;0)</formula>
    </cfRule>
    <cfRule type="expression" priority="17" aboveAverage="0" equalAverage="0" bottom="0" percent="0" rank="0" text="" dxfId="3">
      <formula>AND(ISNUMBER(M24),M24*M$7&lt;0)</formula>
    </cfRule>
  </conditionalFormatting>
  <conditionalFormatting sqref="N24">
    <cfRule type="expression" priority="18" aboveAverage="0" equalAverage="0" bottom="0" percent="0" rank="0" text="" dxfId="2">
      <formula>AND(ISNUMBER(N24),N24*N$7&gt;0)</formula>
    </cfRule>
    <cfRule type="expression" priority="19" aboveAverage="0" equalAverage="0" bottom="0" percent="0" rank="0" text="" dxfId="3">
      <formula>AND(ISNUMBER(N24),N24*N$7&lt;0)</formula>
    </cfRule>
  </conditionalFormatting>
  <conditionalFormatting sqref="O24">
    <cfRule type="expression" priority="20" aboveAverage="0" equalAverage="0" bottom="0" percent="0" rank="0" text="" dxfId="2">
      <formula>AND(ISNUMBER(O24),O24*O$7&gt;0)</formula>
    </cfRule>
    <cfRule type="expression" priority="21" aboveAverage="0" equalAverage="0" bottom="0" percent="0" rank="0" text="" dxfId="3">
      <formula>AND(ISNUMBER(O24),O24*O$7&lt;0)</formula>
    </cfRule>
  </conditionalFormatting>
  <conditionalFormatting sqref="P24">
    <cfRule type="expression" priority="22" aboveAverage="0" equalAverage="0" bottom="0" percent="0" rank="0" text="" dxfId="2">
      <formula>AND(ISNUMBER(P24),P24*P$7&gt;0)</formula>
    </cfRule>
    <cfRule type="expression" priority="23" aboveAverage="0" equalAverage="0" bottom="0" percent="0" rank="0" text="" dxfId="3">
      <formula>AND(ISNUMBER(P24),P24*P$7&lt;0)</formula>
    </cfRule>
  </conditionalFormatting>
  <conditionalFormatting sqref="Q24">
    <cfRule type="expression" priority="24" aboveAverage="0" equalAverage="0" bottom="0" percent="0" rank="0" text="" dxfId="2">
      <formula>AND(ISNUMBER(Q24),Q24*Q$7&gt;0)</formula>
    </cfRule>
    <cfRule type="expression" priority="25" aboveAverage="0" equalAverage="0" bottom="0" percent="0" rank="0" text="" dxfId="3">
      <formula>AND(ISNUMBER(Q24),Q24*Q$7&lt;0)</formula>
    </cfRule>
  </conditionalFormatting>
  <conditionalFormatting sqref="R24">
    <cfRule type="expression" priority="26" aboveAverage="0" equalAverage="0" bottom="0" percent="0" rank="0" text="" dxfId="2">
      <formula>AND(ISNUMBER(R24),R24*R$7&gt;0)</formula>
    </cfRule>
    <cfRule type="expression" priority="27" aboveAverage="0" equalAverage="0" bottom="0" percent="0" rank="0" text="" dxfId="3">
      <formula>AND(ISNUMBER(R24),R24*R$7&lt;0)</formula>
    </cfRule>
  </conditionalFormatting>
  <conditionalFormatting sqref="S24">
    <cfRule type="expression" priority="28" aboveAverage="0" equalAverage="0" bottom="0" percent="0" rank="0" text="" dxfId="2">
      <formula>AND(ISNUMBER(S24),S24*S$7&gt;0)</formula>
    </cfRule>
    <cfRule type="expression" priority="29" aboveAverage="0" equalAverage="0" bottom="0" percent="0" rank="0" text="" dxfId="3">
      <formula>AND(ISNUMBER(S24),S24*S$7&lt;0)</formula>
    </cfRule>
  </conditionalFormatting>
  <conditionalFormatting sqref="T24">
    <cfRule type="expression" priority="30" aboveAverage="0" equalAverage="0" bottom="0" percent="0" rank="0" text="" dxfId="2">
      <formula>AND(ISNUMBER(T24),T24*T$7&gt;0)</formula>
    </cfRule>
    <cfRule type="expression" priority="31" aboveAverage="0" equalAverage="0" bottom="0" percent="0" rank="0" text="" dxfId="3">
      <formula>AND(ISNUMBER(T24),T24*T$7&lt;0)</formula>
    </cfRule>
  </conditionalFormatting>
  <conditionalFormatting sqref="U24">
    <cfRule type="expression" priority="32" aboveAverage="0" equalAverage="0" bottom="0" percent="0" rank="0" text="" dxfId="2">
      <formula>AND(ISNUMBER(U24),U24*U$7&gt;0)</formula>
    </cfRule>
    <cfRule type="expression" priority="33" aboveAverage="0" equalAverage="0" bottom="0" percent="0" rank="0" text="" dxfId="3">
      <formula>AND(ISNUMBER(U24),U24*U$7&lt;0)</formula>
    </cfRule>
  </conditionalFormatting>
  <conditionalFormatting sqref="V24">
    <cfRule type="expression" priority="34" aboveAverage="0" equalAverage="0" bottom="0" percent="0" rank="0" text="" dxfId="2">
      <formula>AND(ISNUMBER(V24),V24*V$7&gt;0)</formula>
    </cfRule>
    <cfRule type="expression" priority="35" aboveAverage="0" equalAverage="0" bottom="0" percent="0" rank="0" text="" dxfId="3">
      <formula>AND(ISNUMBER(V24),V24*V$7&lt;0)</formula>
    </cfRule>
  </conditionalFormatting>
  <conditionalFormatting sqref="X24">
    <cfRule type="expression" priority="36" aboveAverage="0" equalAverage="0" bottom="0" percent="0" rank="0" text="" dxfId="2">
      <formula>AND(ISNUMBER(X24),X24*X$7&gt;0)</formula>
    </cfRule>
    <cfRule type="expression" priority="37" aboveAverage="0" equalAverage="0" bottom="0" percent="0" rank="0" text="" dxfId="3">
      <formula>AND(ISNUMBER(X24),X24*X$7&lt;0)</formula>
    </cfRule>
  </conditionalFormatting>
  <conditionalFormatting sqref="Y24">
    <cfRule type="expression" priority="38" aboveAverage="0" equalAverage="0" bottom="0" percent="0" rank="0" text="" dxfId="2">
      <formula>AND(ISNUMBER(Y24),Y24*Y$7&gt;0)</formula>
    </cfRule>
    <cfRule type="expression" priority="39" aboveAverage="0" equalAverage="0" bottom="0" percent="0" rank="0" text="" dxfId="3">
      <formula>AND(ISNUMBER(Y24),Y24*Y$7&lt;0)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9" min="7" style="0" width="16"/>
    <col collapsed="false" customWidth="true" hidden="false" outlineLevel="0" max="11" min="10" style="0" width="14"/>
  </cols>
  <sheetData>
    <row r="1" customFormat="false" ht="18.55" hidden="false" customHeight="false" outlineLevel="0" collapsed="false">
      <c r="A1" s="5" t="s">
        <v>137</v>
      </c>
    </row>
    <row r="2" customFormat="false" ht="15" hidden="false" customHeight="false" outlineLevel="0" collapsed="false">
      <c r="A2" s="6" t="s">
        <v>138</v>
      </c>
    </row>
    <row r="4" customFormat="false" ht="15" hidden="false" customHeight="false" outlineLevel="0" collapsed="false">
      <c r="A4" s="7" t="s">
        <v>31</v>
      </c>
      <c r="B4" s="7" t="s">
        <v>139</v>
      </c>
      <c r="C4" s="7" t="s">
        <v>140</v>
      </c>
      <c r="D4" s="7" t="s">
        <v>141</v>
      </c>
      <c r="E4" s="7" t="s">
        <v>142</v>
      </c>
      <c r="F4" s="7" t="s">
        <v>143</v>
      </c>
      <c r="G4" s="7" t="s">
        <v>144</v>
      </c>
      <c r="H4" s="7" t="s">
        <v>145</v>
      </c>
      <c r="I4" s="7" t="s">
        <v>146</v>
      </c>
      <c r="J4" s="7" t="s">
        <v>147</v>
      </c>
      <c r="K4" s="7" t="s">
        <v>148</v>
      </c>
    </row>
    <row r="5" customFormat="false" ht="15" hidden="false" customHeight="false" outlineLevel="0" collapsed="false">
      <c r="A5" s="42" t="s">
        <v>84</v>
      </c>
      <c r="B5" s="42" t="s">
        <v>149</v>
      </c>
      <c r="C5" s="42" t="s">
        <v>150</v>
      </c>
      <c r="D5" s="48" t="n">
        <v>1436561</v>
      </c>
      <c r="E5" s="48" t="n">
        <v>1409052</v>
      </c>
      <c r="F5" s="49" t="n">
        <f aca="false">IFERROR(D5/E5-1,"n/a")</f>
        <v>0.0195230552172667</v>
      </c>
      <c r="G5" s="48" t="n">
        <v>29993</v>
      </c>
      <c r="H5" s="48" t="n">
        <v>23560</v>
      </c>
      <c r="I5" s="50" t="n">
        <f aca="false">G5-H5</f>
        <v>6433</v>
      </c>
      <c r="J5" s="49" t="n">
        <f aca="false">IFERROR(G5/D5,"n/a")</f>
        <v>0.0208783337428762</v>
      </c>
      <c r="K5" s="49" t="n">
        <f aca="false">IFERROR(H5/E5,"n/a")</f>
        <v>0.0167204617004908</v>
      </c>
    </row>
    <row r="6" customFormat="false" ht="15" hidden="false" customHeight="false" outlineLevel="0" collapsed="false">
      <c r="A6" s="42" t="s">
        <v>86</v>
      </c>
      <c r="B6" s="42" t="s">
        <v>149</v>
      </c>
      <c r="C6" s="42" t="s">
        <v>150</v>
      </c>
      <c r="D6" s="48" t="n">
        <v>1527491</v>
      </c>
      <c r="E6" s="48" t="n">
        <v>1450021</v>
      </c>
      <c r="F6" s="49" t="n">
        <f aca="false">IFERROR(D6/E6-1,"n/a")</f>
        <v>0.0534268124392681</v>
      </c>
      <c r="G6" s="48" t="n">
        <v>115111</v>
      </c>
      <c r="H6" s="48" t="n">
        <v>94844</v>
      </c>
      <c r="I6" s="50" t="n">
        <f aca="false">G6-H6</f>
        <v>20267</v>
      </c>
      <c r="J6" s="49" t="n">
        <f aca="false">IFERROR(G6/D6,"n/a")</f>
        <v>0.0753595274865777</v>
      </c>
      <c r="K6" s="49" t="n">
        <f aca="false">IFERROR(H6/E6,"n/a")</f>
        <v>0.065408707873886</v>
      </c>
    </row>
    <row r="7" customFormat="false" ht="15" hidden="false" customHeight="false" outlineLevel="0" collapsed="false">
      <c r="A7" s="42" t="s">
        <v>87</v>
      </c>
      <c r="B7" s="42" t="s">
        <v>149</v>
      </c>
      <c r="C7" s="42" t="s">
        <v>150</v>
      </c>
      <c r="D7" s="48" t="n">
        <v>98257.702</v>
      </c>
      <c r="E7" s="48" t="n">
        <v>103943.524</v>
      </c>
      <c r="F7" s="49" t="n">
        <f aca="false">IFERROR(D7/E7-1,"n/a")</f>
        <v>-0.0547010701696048</v>
      </c>
      <c r="G7" s="48" t="n">
        <v>7204.218</v>
      </c>
      <c r="H7" s="48" t="n">
        <v>3050.933</v>
      </c>
      <c r="I7" s="50" t="n">
        <f aca="false">G7-H7</f>
        <v>4153.285</v>
      </c>
      <c r="J7" s="49" t="n">
        <f aca="false">IFERROR(G7/D7,"n/a")</f>
        <v>0.0733196263840976</v>
      </c>
      <c r="K7" s="49" t="n">
        <f aca="false">IFERROR(H7/E7,"n/a")</f>
        <v>0.0293518334052249</v>
      </c>
    </row>
    <row r="8" customFormat="false" ht="15" hidden="false" customHeight="false" outlineLevel="0" collapsed="false">
      <c r="A8" s="42" t="s">
        <v>89</v>
      </c>
      <c r="B8" s="42" t="s">
        <v>149</v>
      </c>
      <c r="C8" s="42" t="s">
        <v>150</v>
      </c>
      <c r="D8" s="48" t="n">
        <v>129406.714</v>
      </c>
      <c r="E8" s="48" t="n">
        <v>148629.351</v>
      </c>
      <c r="F8" s="49" t="n">
        <f aca="false">IFERROR(D8/E8-1,"n/a")</f>
        <v>-0.129332711679539</v>
      </c>
      <c r="G8" s="48" t="n">
        <v>9259.822</v>
      </c>
      <c r="H8" s="48" t="n">
        <v>1666.254</v>
      </c>
      <c r="I8" s="50" t="n">
        <f aca="false">G8-H8</f>
        <v>7593.568</v>
      </c>
      <c r="J8" s="49" t="n">
        <f aca="false">IFERROR(G8/D8,"n/a")</f>
        <v>0.0715559626991224</v>
      </c>
      <c r="K8" s="49" t="n">
        <f aca="false">IFERROR(H8/E8,"n/a")</f>
        <v>0.0112108004831428</v>
      </c>
    </row>
    <row r="9" customFormat="false" ht="15" hidden="false" customHeight="false" outlineLevel="0" collapsed="false">
      <c r="A9" s="42" t="s">
        <v>90</v>
      </c>
      <c r="B9" s="42" t="s">
        <v>149</v>
      </c>
      <c r="C9" s="42" t="s">
        <v>150</v>
      </c>
      <c r="D9" s="48" t="n">
        <v>38991.994</v>
      </c>
      <c r="E9" s="48" t="n">
        <v>39523.226</v>
      </c>
      <c r="F9" s="49" t="n">
        <f aca="false">IFERROR(D9/E9-1,"n/a")</f>
        <v>-0.0134410080796543</v>
      </c>
      <c r="G9" s="48" t="n">
        <v>283.394</v>
      </c>
      <c r="H9" s="48" t="n">
        <v>-460.914</v>
      </c>
      <c r="I9" s="50" t="n">
        <f aca="false">G9-H9</f>
        <v>744.308</v>
      </c>
      <c r="J9" s="49" t="n">
        <f aca="false">IFERROR(G9/D9,"n/a")</f>
        <v>0.00726800481144924</v>
      </c>
      <c r="K9" s="49" t="n">
        <f aca="false">IFERROR(H9/E9,"n/a")</f>
        <v>-0.0116618516919646</v>
      </c>
    </row>
    <row r="10" customFormat="false" ht="15" hidden="false" customHeight="false" outlineLevel="0" collapsed="false">
      <c r="A10" s="51" t="s">
        <v>50</v>
      </c>
      <c r="B10" s="51" t="s">
        <v>151</v>
      </c>
      <c r="C10" s="51" t="s">
        <v>82</v>
      </c>
      <c r="D10" s="48" t="n">
        <v>14476.54</v>
      </c>
      <c r="E10" s="48" t="n">
        <v>15024.2</v>
      </c>
      <c r="F10" s="49" t="n">
        <f aca="false">IFERROR(D10/E10-1,"n/a")</f>
        <v>-0.0364518576696263</v>
      </c>
      <c r="G10" s="48" t="n">
        <v>432.567</v>
      </c>
      <c r="H10" s="48" t="n">
        <v>-80.352</v>
      </c>
      <c r="I10" s="50" t="n">
        <f aca="false">G10-H10</f>
        <v>512.919</v>
      </c>
      <c r="J10" s="49" t="n">
        <f aca="false">IFERROR(G10/D10,"n/a")</f>
        <v>0.0298805515682615</v>
      </c>
      <c r="K10" s="49" t="n">
        <f aca="false">IFERROR(H10/E10,"n/a")</f>
        <v>-0.00534817161645878</v>
      </c>
    </row>
    <row r="11" customFormat="false" ht="15" hidden="false" customHeight="false" outlineLevel="0" collapsed="false">
      <c r="A11" s="51" t="s">
        <v>51</v>
      </c>
      <c r="B11" s="51" t="s">
        <v>151</v>
      </c>
      <c r="C11" s="51" t="s">
        <v>82</v>
      </c>
      <c r="D11" s="48" t="n">
        <v>6605.877</v>
      </c>
      <c r="E11" s="48" t="n">
        <v>6233.521</v>
      </c>
      <c r="F11" s="49" t="n">
        <f aca="false">IFERROR(D11/E11-1,"n/a")</f>
        <v>0.0597344582620321</v>
      </c>
      <c r="G11" s="48" t="n">
        <v>790.096</v>
      </c>
      <c r="H11" s="48" t="n">
        <v>806.171</v>
      </c>
      <c r="I11" s="50" t="n">
        <f aca="false">G11-H11</f>
        <v>-16.075</v>
      </c>
      <c r="J11" s="49" t="n">
        <f aca="false">IFERROR(G11/D11,"n/a")</f>
        <v>0.119605012324632</v>
      </c>
      <c r="K11" s="49" t="n">
        <f aca="false">IFERROR(H11/E11,"n/a")</f>
        <v>0.129328352306826</v>
      </c>
    </row>
    <row r="12" customFormat="false" ht="15" hidden="false" customHeight="false" outlineLevel="0" collapsed="false">
      <c r="A12" s="51" t="s">
        <v>52</v>
      </c>
      <c r="B12" s="51" t="s">
        <v>151</v>
      </c>
      <c r="C12" s="51" t="s">
        <v>82</v>
      </c>
      <c r="D12" s="48" t="n">
        <v>16280.966</v>
      </c>
      <c r="E12" s="48" t="n">
        <v>14714.813</v>
      </c>
      <c r="F12" s="49" t="n">
        <f aca="false">IFERROR(D12/E12-1,"n/a")</f>
        <v>0.106433768475345</v>
      </c>
      <c r="G12" s="48" t="n">
        <v>1164.797</v>
      </c>
      <c r="H12" s="48" t="n">
        <v>1107.657</v>
      </c>
      <c r="I12" s="50" t="n">
        <f aca="false">G12-H12</f>
        <v>57.1400000000001</v>
      </c>
      <c r="J12" s="49" t="n">
        <f aca="false">IFERROR(G12/D12,"n/a")</f>
        <v>0.0715434821250778</v>
      </c>
      <c r="K12" s="49" t="n">
        <f aca="false">IFERROR(H12/E12,"n/a")</f>
        <v>0.0752749627195398</v>
      </c>
    </row>
    <row r="13" customFormat="false" ht="15" hidden="false" customHeight="false" outlineLevel="0" collapsed="false">
      <c r="A13" s="42" t="s">
        <v>108</v>
      </c>
      <c r="B13" s="42" t="s">
        <v>151</v>
      </c>
      <c r="C13" s="42" t="s">
        <v>150</v>
      </c>
      <c r="D13" s="48" t="n">
        <v>3760.004</v>
      </c>
      <c r="E13" s="48" t="n">
        <v>3359.091</v>
      </c>
      <c r="F13" s="49" t="n">
        <f aca="false">IFERROR(D13/E13-1,"n/a")</f>
        <v>0.119351634117682</v>
      </c>
      <c r="G13" s="48" t="n">
        <v>357.804</v>
      </c>
      <c r="H13" s="48" t="n">
        <v>337.352</v>
      </c>
      <c r="I13" s="50" t="n">
        <f aca="false">G13-H13</f>
        <v>20.452</v>
      </c>
      <c r="J13" s="49" t="n">
        <f aca="false">IFERROR(G13/D13,"n/a")</f>
        <v>0.0951605370632584</v>
      </c>
      <c r="K13" s="49" t="n">
        <f aca="false">IFERROR(H13/E13,"n/a")</f>
        <v>0.100429550732624</v>
      </c>
    </row>
    <row r="14" customFormat="false" ht="15" hidden="false" customHeight="false" outlineLevel="0" collapsed="false">
      <c r="A14" s="42" t="s">
        <v>109</v>
      </c>
      <c r="B14" s="42" t="s">
        <v>151</v>
      </c>
      <c r="C14" s="42" t="s">
        <v>150</v>
      </c>
      <c r="D14" s="48" t="n">
        <v>4815.947</v>
      </c>
      <c r="E14" s="48" t="n">
        <v>4506.893</v>
      </c>
      <c r="F14" s="49" t="n">
        <f aca="false">IFERROR(D14/E14-1,"n/a")</f>
        <v>0.0685736271085202</v>
      </c>
      <c r="G14" s="48" t="n">
        <v>294.234</v>
      </c>
      <c r="H14" s="48" t="n">
        <v>327.278</v>
      </c>
      <c r="I14" s="50" t="n">
        <f aca="false">G14-H14</f>
        <v>-33.044</v>
      </c>
      <c r="J14" s="49" t="n">
        <f aca="false">IFERROR(G14/D14,"n/a")</f>
        <v>0.0610957720257303</v>
      </c>
      <c r="K14" s="49" t="n">
        <f aca="false">IFERROR(H14/E14,"n/a")</f>
        <v>0.0726172110143285</v>
      </c>
    </row>
    <row r="15" customFormat="false" ht="15" hidden="false" customHeight="false" outlineLevel="0" collapsed="false">
      <c r="A15" s="42" t="s">
        <v>113</v>
      </c>
      <c r="B15" s="42" t="s">
        <v>151</v>
      </c>
      <c r="C15" s="42" t="s">
        <v>150</v>
      </c>
      <c r="D15" s="48" t="n">
        <v>22820.982</v>
      </c>
      <c r="E15" s="48" t="n">
        <v>25055.713</v>
      </c>
      <c r="F15" s="49" t="n">
        <f aca="false">IFERROR(D15/E15-1,"n/a")</f>
        <v>-0.0891904772376663</v>
      </c>
      <c r="G15" s="48" t="n">
        <v>3134.07</v>
      </c>
      <c r="H15" s="48" t="n">
        <v>3046.242</v>
      </c>
      <c r="I15" s="50" t="n">
        <f aca="false">G15-H15</f>
        <v>87.828</v>
      </c>
      <c r="J15" s="49" t="n">
        <f aca="false">IFERROR(G15/D15,"n/a")</f>
        <v>0.137332828184168</v>
      </c>
      <c r="K15" s="49" t="n">
        <f aca="false">IFERROR(H15/E15,"n/a")</f>
        <v>0.121578739347789</v>
      </c>
    </row>
    <row r="16" customFormat="false" ht="15" hidden="false" customHeight="false" outlineLevel="0" collapsed="false">
      <c r="A16" s="42" t="s">
        <v>152</v>
      </c>
      <c r="B16" s="42" t="s">
        <v>151</v>
      </c>
      <c r="C16" s="42" t="s">
        <v>150</v>
      </c>
      <c r="D16" s="48" t="n">
        <v>13052.166</v>
      </c>
      <c r="E16" s="48" t="n">
        <v>7256.07</v>
      </c>
      <c r="F16" s="49" t="n">
        <f aca="false">IFERROR(D16/E16-1,"n/a")</f>
        <v>0.79879273491022</v>
      </c>
      <c r="G16" s="48" t="n">
        <v>7250.13</v>
      </c>
      <c r="H16" s="48" t="n">
        <v>2862.478</v>
      </c>
      <c r="I16" s="50" t="n">
        <f aca="false">G16-H16</f>
        <v>4387.652</v>
      </c>
      <c r="J16" s="49" t="n">
        <f aca="false">IFERROR(G16/D16,"n/a")</f>
        <v>0.555473321439522</v>
      </c>
      <c r="K16" s="49" t="n">
        <f aca="false">IFERROR(H16/E16,"n/a")</f>
        <v>0.394494264801745</v>
      </c>
    </row>
    <row r="17" customFormat="false" ht="15" hidden="false" customHeight="false" outlineLevel="0" collapsed="false">
      <c r="A17" s="51" t="s">
        <v>153</v>
      </c>
      <c r="B17" s="51" t="s">
        <v>154</v>
      </c>
      <c r="C17" s="51" t="s">
        <v>82</v>
      </c>
      <c r="D17" s="48" t="n">
        <v>3799.837</v>
      </c>
      <c r="E17" s="48" t="n">
        <v>3517.657</v>
      </c>
      <c r="F17" s="49" t="n">
        <f aca="false">IFERROR(D17/E17-1,"n/a")</f>
        <v>0.0802181679453113</v>
      </c>
      <c r="G17" s="48" t="n">
        <v>106.348</v>
      </c>
      <c r="H17" s="48" t="n">
        <v>102.947</v>
      </c>
      <c r="I17" s="50" t="n">
        <f aca="false">G17-H17</f>
        <v>3.401</v>
      </c>
      <c r="J17" s="49" t="n">
        <f aca="false">IFERROR(G17/D17,"n/a")</f>
        <v>0.0279875163066205</v>
      </c>
      <c r="K17" s="49" t="n">
        <f aca="false">IFERROR(H17/E17,"n/a")</f>
        <v>0.0292657868575589</v>
      </c>
    </row>
    <row r="18" customFormat="false" ht="15" hidden="false" customHeight="false" outlineLevel="0" collapsed="false">
      <c r="A18" s="42" t="s">
        <v>128</v>
      </c>
      <c r="B18" s="42" t="s">
        <v>154</v>
      </c>
      <c r="C18" s="42" t="s">
        <v>150</v>
      </c>
      <c r="D18" s="48" t="n">
        <v>12733.282</v>
      </c>
      <c r="E18" s="48" t="n">
        <v>11811.886</v>
      </c>
      <c r="F18" s="49" t="n">
        <f aca="false">IFERROR(D18/E18-1,"n/a")</f>
        <v>0.0780058324301469</v>
      </c>
      <c r="G18" s="48" t="n">
        <v>101.432</v>
      </c>
      <c r="H18" s="48" t="n">
        <v>854.363</v>
      </c>
      <c r="I18" s="50" t="n">
        <f aca="false">G18-H18</f>
        <v>-752.931</v>
      </c>
      <c r="J18" s="49" t="n">
        <f aca="false">IFERROR(G18/D18,"n/a")</f>
        <v>0.00796589598816707</v>
      </c>
      <c r="K18" s="49" t="n">
        <f aca="false">IFERROR(H18/E18,"n/a")</f>
        <v>0.0723307861250947</v>
      </c>
    </row>
    <row r="19" customFormat="false" ht="15" hidden="false" customHeight="false" outlineLevel="0" collapsed="false">
      <c r="A19" s="42" t="s">
        <v>130</v>
      </c>
      <c r="B19" s="42" t="s">
        <v>154</v>
      </c>
      <c r="C19" s="42" t="s">
        <v>150</v>
      </c>
      <c r="D19" s="48" t="n">
        <v>20027.01</v>
      </c>
      <c r="E19" s="48" t="n">
        <v>17586.68</v>
      </c>
      <c r="F19" s="49" t="n">
        <f aca="false">IFERROR(D19/E19-1,"n/a")</f>
        <v>0.138760129825527</v>
      </c>
      <c r="G19" s="48" t="n">
        <v>2196.882</v>
      </c>
      <c r="H19" s="48" t="n">
        <v>1882.597</v>
      </c>
      <c r="I19" s="50" t="n">
        <f aca="false">G19-H19</f>
        <v>314.285</v>
      </c>
      <c r="J19" s="49" t="n">
        <f aca="false">IFERROR(G19/D19,"n/a")</f>
        <v>0.109695955611946</v>
      </c>
      <c r="K19" s="49" t="n">
        <f aca="false">IFERROR(H19/E19,"n/a")</f>
        <v>0.107046753565767</v>
      </c>
    </row>
    <row r="20" customFormat="false" ht="15" hidden="false" customHeight="false" outlineLevel="0" collapsed="false">
      <c r="A20" s="42" t="s">
        <v>131</v>
      </c>
      <c r="B20" s="42" t="s">
        <v>154</v>
      </c>
      <c r="C20" s="42" t="s">
        <v>150</v>
      </c>
      <c r="D20" s="48" t="n">
        <v>23474.496</v>
      </c>
      <c r="E20" s="48" t="n">
        <v>21855.062</v>
      </c>
      <c r="F20" s="49" t="n">
        <f aca="false">IFERROR(D20/E20-1,"n/a")</f>
        <v>0.0740988060340435</v>
      </c>
      <c r="G20" s="48" t="n">
        <v>2440.403</v>
      </c>
      <c r="H20" s="48" t="n">
        <v>2322.234</v>
      </c>
      <c r="I20" s="50" t="n">
        <f aca="false">G20-H20</f>
        <v>118.169</v>
      </c>
      <c r="J20" s="49" t="n">
        <f aca="false">IFERROR(G20/D20,"n/a")</f>
        <v>0.103959761266014</v>
      </c>
      <c r="K20" s="49" t="n">
        <f aca="false">IFERROR(H20/E20,"n/a")</f>
        <v>0.106256115860024</v>
      </c>
    </row>
    <row r="21" customFormat="false" ht="15" hidden="false" customHeight="false" outlineLevel="0" collapsed="false">
      <c r="A21" s="42" t="s">
        <v>132</v>
      </c>
      <c r="B21" s="42" t="s">
        <v>154</v>
      </c>
      <c r="C21" s="42" t="s">
        <v>150</v>
      </c>
      <c r="D21" s="48" t="n">
        <v>15122.869</v>
      </c>
      <c r="E21" s="48" t="n">
        <v>20271.943</v>
      </c>
      <c r="F21" s="49" t="n">
        <f aca="false">IFERROR(D21/E21-1,"n/a")</f>
        <v>-0.254000023579387</v>
      </c>
      <c r="G21" s="48" t="n">
        <v>-268.504</v>
      </c>
      <c r="H21" s="48" t="n">
        <v>-257.954</v>
      </c>
      <c r="I21" s="50" t="n">
        <f aca="false">G21-H21</f>
        <v>-10.55</v>
      </c>
      <c r="J21" s="49" t="n">
        <f aca="false">IFERROR(G21/D21,"n/a")</f>
        <v>-0.0177548321022949</v>
      </c>
      <c r="K21" s="49" t="n">
        <f aca="false">IFERROR(H21/E21,"n/a")</f>
        <v>-0.0127246806090566</v>
      </c>
    </row>
    <row r="23" customFormat="false" ht="15" hidden="false" customHeight="false" outlineLevel="0" collapsed="false">
      <c r="A23" s="6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5"/>
  </cols>
  <sheetData>
    <row r="1" customFormat="false" ht="18.55" hidden="false" customHeight="false" outlineLevel="0" collapsed="false">
      <c r="A1" s="5" t="s">
        <v>156</v>
      </c>
    </row>
    <row r="2" customFormat="false" ht="15" hidden="false" customHeight="false" outlineLevel="0" collapsed="false">
      <c r="A2" s="6" t="s">
        <v>157</v>
      </c>
    </row>
    <row r="4" customFormat="false" ht="15" hidden="false" customHeight="false" outlineLevel="0" collapsed="false">
      <c r="A4" s="52" t="s">
        <v>158</v>
      </c>
    </row>
    <row r="5" customFormat="false" ht="15" hidden="false" customHeight="false" outlineLevel="0" collapsed="false">
      <c r="A5" s="7" t="s">
        <v>159</v>
      </c>
      <c r="B5" s="7" t="s">
        <v>160</v>
      </c>
      <c r="C5" s="7" t="s">
        <v>161</v>
      </c>
      <c r="D5" s="7" t="s">
        <v>162</v>
      </c>
      <c r="E5" s="7" t="s">
        <v>163</v>
      </c>
    </row>
    <row r="6" customFormat="false" ht="15" hidden="false" customHeight="false" outlineLevel="0" collapsed="false">
      <c r="A6" s="42" t="s">
        <v>164</v>
      </c>
      <c r="B6" s="53" t="n">
        <v>6170.73</v>
      </c>
      <c r="C6" s="53" t="n">
        <v>6083.8</v>
      </c>
      <c r="D6" s="53" t="n">
        <v>5649.67</v>
      </c>
      <c r="E6" s="53" t="n">
        <v>1195.77</v>
      </c>
    </row>
    <row r="7" customFormat="false" ht="15" hidden="false" customHeight="false" outlineLevel="0" collapsed="false">
      <c r="A7" s="42" t="s">
        <v>165</v>
      </c>
      <c r="B7" s="53" t="n">
        <v>4.93</v>
      </c>
      <c r="C7" s="53" t="n">
        <v>4.72</v>
      </c>
      <c r="D7" s="53" t="n">
        <v>4.61</v>
      </c>
      <c r="E7" s="53" t="n">
        <v>5.42</v>
      </c>
    </row>
    <row r="8" customFormat="false" ht="15" hidden="false" customHeight="false" outlineLevel="0" collapsed="false">
      <c r="A8" s="42" t="s">
        <v>166</v>
      </c>
      <c r="B8" s="53" t="n">
        <v>31.68</v>
      </c>
      <c r="C8" s="53" t="n">
        <v>32.88</v>
      </c>
      <c r="D8" s="53" t="n">
        <v>13.62</v>
      </c>
      <c r="E8" s="53" t="n">
        <v>5.41</v>
      </c>
    </row>
    <row r="9" customFormat="false" ht="15" hidden="false" customHeight="false" outlineLevel="0" collapsed="false">
      <c r="A9" s="42" t="s">
        <v>167</v>
      </c>
      <c r="B9" s="53" t="n">
        <v>-70.59</v>
      </c>
      <c r="C9" s="53" t="n">
        <v>-46.16</v>
      </c>
      <c r="D9" s="53" t="n">
        <v>-31.45</v>
      </c>
      <c r="E9" s="53" t="n">
        <v>-0.95</v>
      </c>
    </row>
    <row r="10" customFormat="false" ht="15" hidden="false" customHeight="false" outlineLevel="0" collapsed="false">
      <c r="A10" s="42" t="s">
        <v>168</v>
      </c>
      <c r="B10" s="53" t="n">
        <v>54.12</v>
      </c>
      <c r="C10" s="53" t="n">
        <v>121.87</v>
      </c>
      <c r="D10" s="53" t="n">
        <v>73.13</v>
      </c>
      <c r="E10" s="53" t="n">
        <v>2</v>
      </c>
    </row>
    <row r="11" customFormat="false" ht="15" hidden="false" customHeight="false" outlineLevel="0" collapsed="false">
      <c r="A11" s="42" t="s">
        <v>169</v>
      </c>
      <c r="B11" s="53" t="n">
        <v>-4.93</v>
      </c>
      <c r="C11" s="53" t="n">
        <v>-18.42</v>
      </c>
      <c r="D11" s="53" t="n">
        <v>42.47</v>
      </c>
      <c r="E11" s="53" t="n">
        <v>27.55</v>
      </c>
    </row>
    <row r="12" customFormat="false" ht="15" hidden="false" customHeight="false" outlineLevel="0" collapsed="false">
      <c r="A12" s="42" t="s">
        <v>170</v>
      </c>
      <c r="B12" s="53" t="n">
        <v>3.5</v>
      </c>
      <c r="C12" s="53" t="n">
        <v>86.59</v>
      </c>
      <c r="D12" s="53" t="n">
        <v>86.68</v>
      </c>
      <c r="E12" s="53" t="n">
        <v>42.19</v>
      </c>
    </row>
    <row r="13" customFormat="false" ht="15" hidden="false" customHeight="false" outlineLevel="0" collapsed="false">
      <c r="A13" s="42" t="s">
        <v>171</v>
      </c>
      <c r="B13" s="53" t="n">
        <v>8565.46</v>
      </c>
      <c r="C13" s="53" t="n">
        <v>9187.36</v>
      </c>
      <c r="D13" s="53" t="n">
        <v>9685.5</v>
      </c>
      <c r="E13" s="53" t="n">
        <v>10241.52</v>
      </c>
    </row>
    <row r="14" customFormat="false" ht="15" hidden="false" customHeight="false" outlineLevel="0" collapsed="false">
      <c r="A14" s="42" t="s">
        <v>172</v>
      </c>
      <c r="B14" s="53" t="n">
        <v>4110.07</v>
      </c>
      <c r="C14" s="53" t="n">
        <v>4632.81</v>
      </c>
      <c r="D14" s="53" t="n">
        <v>4839.4</v>
      </c>
      <c r="E14" s="53" t="n">
        <v>5656.67</v>
      </c>
    </row>
    <row r="15" customFormat="false" ht="15" hidden="false" customHeight="false" outlineLevel="0" collapsed="false">
      <c r="A15" s="42" t="s">
        <v>173</v>
      </c>
      <c r="B15" s="53" t="n">
        <v>5781.43</v>
      </c>
      <c r="C15" s="53" t="n">
        <v>6078.22</v>
      </c>
      <c r="D15" s="53" t="n">
        <v>6120.83</v>
      </c>
      <c r="E15" s="53" t="n">
        <v>6492.67</v>
      </c>
    </row>
    <row r="16" customFormat="false" ht="15" hidden="false" customHeight="false" outlineLevel="0" collapsed="false">
      <c r="A16" s="42" t="s">
        <v>174</v>
      </c>
      <c r="B16" s="53" t="n">
        <v>2784.03</v>
      </c>
      <c r="C16" s="53" t="n">
        <v>3109.14</v>
      </c>
      <c r="D16" s="53" t="n">
        <v>3564.67</v>
      </c>
      <c r="E16" s="53" t="n">
        <v>3748.85</v>
      </c>
    </row>
    <row r="17" customFormat="false" ht="15" hidden="false" customHeight="false" outlineLevel="0" collapsed="false">
      <c r="A17" s="42" t="s">
        <v>175</v>
      </c>
      <c r="B17" s="53" t="n">
        <v>66.56</v>
      </c>
      <c r="C17" s="53" t="n">
        <v>68.56</v>
      </c>
      <c r="D17" s="53" t="n">
        <v>68.21</v>
      </c>
      <c r="E17" s="53" t="n">
        <v>69.87</v>
      </c>
    </row>
    <row r="18" customFormat="false" ht="15" hidden="false" customHeight="false" outlineLevel="0" collapsed="false">
      <c r="A18" s="42" t="s">
        <v>176</v>
      </c>
      <c r="B18" s="53" t="n">
        <v>269.02</v>
      </c>
      <c r="C18" s="53" t="n">
        <v>92.57</v>
      </c>
      <c r="D18" s="53" t="n">
        <v>193.67</v>
      </c>
      <c r="E18" s="53" t="n">
        <v>-172.41</v>
      </c>
    </row>
    <row r="19" customFormat="false" ht="15" hidden="false" customHeight="false" outlineLevel="0" collapsed="false">
      <c r="A19" s="42" t="s">
        <v>177</v>
      </c>
      <c r="B19" s="53" t="n">
        <v>20.23</v>
      </c>
      <c r="C19" s="53" t="n">
        <v>14.12</v>
      </c>
      <c r="D19" s="53" t="n">
        <v>15.28</v>
      </c>
      <c r="E19" s="42"/>
    </row>
    <row r="20" customFormat="false" ht="15" hidden="false" customHeight="false" outlineLevel="0" collapsed="false">
      <c r="A20" s="42" t="s">
        <v>178</v>
      </c>
      <c r="B20" s="53" t="n">
        <v>1.79</v>
      </c>
      <c r="C20" s="53" t="n">
        <v>2.44</v>
      </c>
      <c r="D20" s="53" t="n">
        <v>2.52</v>
      </c>
      <c r="E20" s="42"/>
    </row>
    <row r="21" customFormat="false" ht="15" hidden="false" customHeight="false" outlineLevel="0" collapsed="false">
      <c r="A21" s="6" t="s">
        <v>179</v>
      </c>
    </row>
    <row r="23" customFormat="false" ht="15" hidden="false" customHeight="false" outlineLevel="0" collapsed="false">
      <c r="A23" s="52" t="s">
        <v>180</v>
      </c>
    </row>
    <row r="24" customFormat="false" ht="15" hidden="false" customHeight="false" outlineLevel="0" collapsed="false">
      <c r="A24" s="7" t="s">
        <v>181</v>
      </c>
      <c r="B24" s="7" t="s">
        <v>182</v>
      </c>
      <c r="C24" s="7" t="s">
        <v>183</v>
      </c>
      <c r="D24" s="7" t="s">
        <v>184</v>
      </c>
      <c r="E24" s="7" t="s">
        <v>185</v>
      </c>
      <c r="F24" s="7" t="s">
        <v>186</v>
      </c>
      <c r="G24" s="7" t="s">
        <v>187</v>
      </c>
    </row>
    <row r="25" customFormat="false" ht="15" hidden="false" customHeight="false" outlineLevel="0" collapsed="false">
      <c r="A25" s="42" t="s">
        <v>188</v>
      </c>
      <c r="B25" s="53" t="n">
        <v>4573.07</v>
      </c>
      <c r="C25" s="53" t="n">
        <v>2.9</v>
      </c>
      <c r="D25" s="53" t="n">
        <v>4300.8</v>
      </c>
      <c r="E25" s="53" t="n">
        <v>2.17</v>
      </c>
      <c r="F25" s="53" t="n">
        <v>3959.51</v>
      </c>
      <c r="G25" s="53" t="n">
        <v>1.81</v>
      </c>
    </row>
    <row r="26" customFormat="false" ht="15" hidden="false" customHeight="false" outlineLevel="0" collapsed="false">
      <c r="A26" s="42" t="s">
        <v>189</v>
      </c>
      <c r="B26" s="53" t="n">
        <v>547</v>
      </c>
      <c r="C26" s="53" t="n">
        <v>4.88</v>
      </c>
      <c r="D26" s="53" t="n">
        <v>817.95</v>
      </c>
      <c r="E26" s="53" t="n">
        <v>6.86</v>
      </c>
      <c r="F26" s="53" t="n">
        <v>745.79</v>
      </c>
      <c r="G26" s="53" t="n">
        <v>7.65</v>
      </c>
    </row>
    <row r="27" customFormat="false" ht="15" hidden="false" customHeight="false" outlineLevel="0" collapsed="false">
      <c r="A27" s="42" t="s">
        <v>190</v>
      </c>
      <c r="B27" s="53" t="n">
        <v>716.66</v>
      </c>
      <c r="C27" s="53" t="n">
        <v>12.22</v>
      </c>
      <c r="D27" s="53" t="n">
        <v>590.47</v>
      </c>
      <c r="E27" s="53" t="n">
        <v>14.57</v>
      </c>
      <c r="F27" s="53" t="n">
        <v>593.71</v>
      </c>
      <c r="G27" s="53" t="n">
        <v>15.86</v>
      </c>
    </row>
    <row r="28" customFormat="false" ht="15" hidden="false" customHeight="false" outlineLevel="0" collapsed="false">
      <c r="A28" s="6" t="s">
        <v>191</v>
      </c>
    </row>
    <row r="30" customFormat="false" ht="15" hidden="false" customHeight="false" outlineLevel="0" collapsed="false">
      <c r="A30" s="52" t="s">
        <v>192</v>
      </c>
    </row>
    <row r="31" customFormat="false" ht="15" hidden="false" customHeight="false" outlineLevel="0" collapsed="false">
      <c r="A31" s="7" t="s">
        <v>181</v>
      </c>
      <c r="B31" s="7" t="s">
        <v>160</v>
      </c>
      <c r="C31" s="7" t="s">
        <v>161</v>
      </c>
      <c r="D31" s="7" t="s">
        <v>162</v>
      </c>
    </row>
    <row r="32" customFormat="false" ht="15" hidden="false" customHeight="false" outlineLevel="0" collapsed="false">
      <c r="A32" s="42" t="s">
        <v>193</v>
      </c>
      <c r="B32" s="53" t="n">
        <v>3418.87</v>
      </c>
      <c r="C32" s="53" t="n">
        <v>3048.98</v>
      </c>
      <c r="D32" s="53" t="n">
        <v>2736.92</v>
      </c>
    </row>
    <row r="33" customFormat="false" ht="15" hidden="false" customHeight="false" outlineLevel="0" collapsed="false">
      <c r="A33" s="42" t="s">
        <v>194</v>
      </c>
      <c r="B33" s="53" t="n">
        <v>1796.1</v>
      </c>
      <c r="C33" s="53" t="n">
        <v>1725.78</v>
      </c>
      <c r="D33" s="53" t="n">
        <v>1606.52</v>
      </c>
    </row>
    <row r="34" customFormat="false" ht="15" hidden="false" customHeight="false" outlineLevel="0" collapsed="false">
      <c r="A34" s="42" t="s">
        <v>195</v>
      </c>
      <c r="B34" s="53" t="n">
        <v>822.12</v>
      </c>
      <c r="C34" s="53" t="n">
        <v>734.93</v>
      </c>
      <c r="D34" s="53" t="n">
        <v>612.66</v>
      </c>
    </row>
    <row r="35" customFormat="false" ht="15" hidden="false" customHeight="false" outlineLevel="0" collapsed="false">
      <c r="A35" s="42" t="s">
        <v>196</v>
      </c>
      <c r="B35" s="53" t="n">
        <v>17.7</v>
      </c>
      <c r="C35" s="53" t="n">
        <v>17.76</v>
      </c>
      <c r="D35" s="53" t="n">
        <v>24.2</v>
      </c>
    </row>
    <row r="36" customFormat="false" ht="15" hidden="false" customHeight="false" outlineLevel="0" collapsed="false">
      <c r="A36" s="42" t="s">
        <v>197</v>
      </c>
      <c r="B36" s="53" t="n">
        <v>11.24</v>
      </c>
      <c r="C36" s="53" t="n">
        <v>8.1</v>
      </c>
      <c r="D36" s="53" t="n">
        <v>7.61</v>
      </c>
    </row>
    <row r="37" customFormat="false" ht="15" hidden="false" customHeight="false" outlineLevel="0" collapsed="false">
      <c r="A37" s="42" t="s">
        <v>198</v>
      </c>
      <c r="B37" s="53" t="n">
        <v>-1483.96</v>
      </c>
      <c r="C37" s="53" t="n">
        <v>-1266.53</v>
      </c>
      <c r="D37" s="53" t="n">
        <v>-1046.8</v>
      </c>
    </row>
    <row r="38" customFormat="false" ht="15" hidden="false" customHeight="false" outlineLevel="0" collapsed="false">
      <c r="A38" s="42" t="s">
        <v>199</v>
      </c>
      <c r="B38" s="53" t="n">
        <v>4582.06</v>
      </c>
      <c r="C38" s="53" t="n">
        <v>4269.03</v>
      </c>
      <c r="D38" s="53" t="n">
        <v>3941.1</v>
      </c>
    </row>
    <row r="39" customFormat="false" ht="15" hidden="false" customHeight="false" outlineLevel="0" collapsed="false">
      <c r="A39" s="42" t="s">
        <v>200</v>
      </c>
      <c r="B39" s="42"/>
      <c r="C39" s="53" t="n">
        <v>-31.82</v>
      </c>
      <c r="D39" s="53" t="n">
        <v>-16.83</v>
      </c>
    </row>
    <row r="40" customFormat="false" ht="15" hidden="false" customHeight="false" outlineLevel="0" collapsed="false">
      <c r="A40" s="6" t="s">
        <v>201</v>
      </c>
    </row>
    <row r="42" customFormat="false" ht="15" hidden="false" customHeight="false" outlineLevel="0" collapsed="false">
      <c r="A42" s="52" t="s">
        <v>202</v>
      </c>
    </row>
    <row r="43" customFormat="false" ht="15" hidden="false" customHeight="false" outlineLevel="0" collapsed="false">
      <c r="A43" s="7" t="s">
        <v>203</v>
      </c>
      <c r="B43" s="7" t="s">
        <v>161</v>
      </c>
      <c r="C43" s="7" t="s">
        <v>162</v>
      </c>
      <c r="D43" s="7" t="s">
        <v>204</v>
      </c>
      <c r="E43" s="7" t="s">
        <v>205</v>
      </c>
    </row>
    <row r="44" customFormat="false" ht="15" hidden="false" customHeight="false" outlineLevel="0" collapsed="false">
      <c r="A44" s="42" t="s">
        <v>206</v>
      </c>
      <c r="B44" s="54" t="n">
        <v>28.8</v>
      </c>
      <c r="C44" s="54" t="n">
        <v>28.4</v>
      </c>
      <c r="D44" s="42"/>
      <c r="E44" s="54" t="n">
        <v>12.2</v>
      </c>
    </row>
    <row r="45" customFormat="false" ht="15" hidden="false" customHeight="false" outlineLevel="0" collapsed="false">
      <c r="A45" s="42" t="s">
        <v>207</v>
      </c>
      <c r="B45" s="54" t="n">
        <v>3.9</v>
      </c>
      <c r="C45" s="54" t="n">
        <v>4.4</v>
      </c>
      <c r="D45" s="42"/>
      <c r="E45" s="54" t="n">
        <v>2.4</v>
      </c>
    </row>
    <row r="46" customFormat="false" ht="15" hidden="false" customHeight="false" outlineLevel="0" collapsed="false">
      <c r="A46" s="42" t="s">
        <v>208</v>
      </c>
      <c r="B46" s="54" t="n">
        <v>13.5</v>
      </c>
      <c r="C46" s="54" t="n">
        <v>15.4</v>
      </c>
      <c r="D46" s="54" t="n">
        <v>18.6</v>
      </c>
      <c r="E46" s="54" t="n">
        <v>19.5</v>
      </c>
    </row>
    <row r="47" customFormat="false" ht="15" hidden="false" customHeight="false" outlineLevel="0" collapsed="false">
      <c r="A47" s="42" t="s">
        <v>209</v>
      </c>
      <c r="B47" s="54" t="n">
        <v>13.2</v>
      </c>
      <c r="C47" s="54" t="n">
        <v>13.7</v>
      </c>
      <c r="D47" s="42"/>
      <c r="E47" s="54" t="n">
        <v>6.6</v>
      </c>
    </row>
    <row r="48" customFormat="false" ht="15" hidden="false" customHeight="false" outlineLevel="0" collapsed="false">
      <c r="A48" s="42" t="s">
        <v>210</v>
      </c>
      <c r="B48" s="54" t="n">
        <v>4.8</v>
      </c>
      <c r="C48" s="54" t="n">
        <v>4.8</v>
      </c>
      <c r="D48" s="42"/>
      <c r="E48" s="42"/>
    </row>
    <row r="49" customFormat="false" ht="15" hidden="false" customHeight="false" outlineLevel="0" collapsed="false">
      <c r="A49" s="42" t="s">
        <v>211</v>
      </c>
      <c r="B49" s="54" t="n">
        <v>4.1</v>
      </c>
      <c r="C49" s="54" t="n">
        <v>4.1</v>
      </c>
      <c r="D49" s="42"/>
      <c r="E49" s="42"/>
    </row>
    <row r="50" customFormat="false" ht="15" hidden="false" customHeight="false" outlineLevel="0" collapsed="false">
      <c r="A50" s="42" t="s">
        <v>212</v>
      </c>
      <c r="B50" s="54" t="n">
        <v>9.2</v>
      </c>
      <c r="C50" s="54" t="n">
        <v>8.3</v>
      </c>
      <c r="D50" s="42"/>
      <c r="E50" s="42"/>
    </row>
    <row r="51" customFormat="false" ht="15" hidden="false" customHeight="false" outlineLevel="0" collapsed="false">
      <c r="A51" s="6" t="s">
        <v>213</v>
      </c>
    </row>
    <row r="53" customFormat="false" ht="15" hidden="false" customHeight="false" outlineLevel="0" collapsed="false">
      <c r="A53" s="52" t="s">
        <v>214</v>
      </c>
    </row>
    <row r="54" customFormat="false" ht="15" hidden="false" customHeight="false" outlineLevel="0" collapsed="false">
      <c r="A54" s="7" t="s">
        <v>203</v>
      </c>
      <c r="B54" s="7" t="s">
        <v>161</v>
      </c>
      <c r="C54" s="7" t="s">
        <v>162</v>
      </c>
      <c r="D54" s="7" t="s">
        <v>204</v>
      </c>
      <c r="E54" s="7" t="s">
        <v>205</v>
      </c>
    </row>
    <row r="55" customFormat="false" ht="15" hidden="false" customHeight="false" outlineLevel="0" collapsed="false">
      <c r="A55" s="42" t="s">
        <v>164</v>
      </c>
      <c r="B55" s="54" t="n">
        <v>6773.3</v>
      </c>
      <c r="C55" s="54" t="n">
        <v>6776.2</v>
      </c>
      <c r="D55" s="54" t="n">
        <v>3498.6</v>
      </c>
      <c r="E55" s="54" t="n">
        <v>3494.5</v>
      </c>
    </row>
    <row r="56" customFormat="false" ht="15" hidden="false" customHeight="false" outlineLevel="0" collapsed="false">
      <c r="A56" s="42" t="s">
        <v>215</v>
      </c>
      <c r="B56" s="54" t="n">
        <v>1060.5</v>
      </c>
      <c r="C56" s="54" t="n">
        <v>1081.4</v>
      </c>
      <c r="D56" s="42"/>
      <c r="E56" s="54" t="n">
        <v>557.8</v>
      </c>
    </row>
    <row r="57" customFormat="false" ht="15" hidden="false" customHeight="false" outlineLevel="0" collapsed="false">
      <c r="A57" s="42" t="s">
        <v>216</v>
      </c>
      <c r="B57" s="54" t="n">
        <v>501.1</v>
      </c>
      <c r="C57" s="54" t="n">
        <v>530.7</v>
      </c>
      <c r="D57" s="42"/>
      <c r="E57" s="54" t="n">
        <v>299</v>
      </c>
    </row>
    <row r="58" customFormat="false" ht="15" hidden="false" customHeight="false" outlineLevel="0" collapsed="false">
      <c r="A58" s="42" t="s">
        <v>217</v>
      </c>
      <c r="B58" s="54" t="n">
        <v>1925.8</v>
      </c>
      <c r="C58" s="54" t="n">
        <v>1102</v>
      </c>
      <c r="D58" s="42"/>
      <c r="E58" s="54" t="n">
        <v>1915.9</v>
      </c>
    </row>
    <row r="59" customFormat="false" ht="15" hidden="false" customHeight="false" outlineLevel="0" collapsed="false">
      <c r="A59" s="6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50" min="9" style="0" width="13"/>
    <col collapsed="false" customWidth="true" hidden="false" outlineLevel="0" max="51" min="51" style="0" width="60"/>
    <col collapsed="false" customWidth="true" hidden="false" outlineLevel="0" max="52" min="52" style="0" width="44"/>
  </cols>
  <sheetData>
    <row r="1" customFormat="false" ht="18.55" hidden="false" customHeight="false" outlineLevel="0" collapsed="false">
      <c r="A1" s="5" t="s">
        <v>219</v>
      </c>
    </row>
    <row r="2" customFormat="false" ht="15" hidden="false" customHeight="false" outlineLevel="0" collapsed="false">
      <c r="A2" s="6" t="s">
        <v>220</v>
      </c>
    </row>
    <row r="3" customFormat="false" ht="15" hidden="false" customHeight="false" outlineLevel="0" collapsed="false">
      <c r="I3" s="55" t="s">
        <v>221</v>
      </c>
      <c r="AD3" s="55" t="s">
        <v>222</v>
      </c>
    </row>
    <row r="4" customFormat="false" ht="42" hidden="false" customHeight="true" outlineLevel="0" collapsed="false">
      <c r="A4" s="7" t="s">
        <v>223</v>
      </c>
      <c r="B4" s="7" t="s">
        <v>31</v>
      </c>
      <c r="C4" s="7" t="s">
        <v>139</v>
      </c>
      <c r="D4" s="7" t="s">
        <v>224</v>
      </c>
      <c r="E4" s="7" t="s">
        <v>140</v>
      </c>
      <c r="F4" s="7" t="s">
        <v>225</v>
      </c>
      <c r="G4" s="7" t="s">
        <v>226</v>
      </c>
      <c r="H4" s="7" t="s">
        <v>227</v>
      </c>
      <c r="I4" s="56" t="s">
        <v>164</v>
      </c>
      <c r="J4" s="56" t="s">
        <v>228</v>
      </c>
      <c r="K4" s="56" t="s">
        <v>229</v>
      </c>
      <c r="L4" s="56" t="s">
        <v>230</v>
      </c>
      <c r="M4" s="56" t="s">
        <v>231</v>
      </c>
      <c r="N4" s="56" t="s">
        <v>207</v>
      </c>
      <c r="O4" s="56" t="s">
        <v>232</v>
      </c>
      <c r="P4" s="56" t="s">
        <v>233</v>
      </c>
      <c r="Q4" s="56" t="s">
        <v>216</v>
      </c>
      <c r="R4" s="56" t="s">
        <v>234</v>
      </c>
      <c r="S4" s="56" t="s">
        <v>171</v>
      </c>
      <c r="T4" s="56" t="s">
        <v>173</v>
      </c>
      <c r="U4" s="56" t="s">
        <v>235</v>
      </c>
      <c r="V4" s="56" t="s">
        <v>236</v>
      </c>
      <c r="W4" s="56" t="s">
        <v>237</v>
      </c>
      <c r="X4" s="56" t="s">
        <v>238</v>
      </c>
      <c r="Y4" s="56" t="s">
        <v>239</v>
      </c>
      <c r="Z4" s="56" t="s">
        <v>240</v>
      </c>
      <c r="AA4" s="56" t="s">
        <v>176</v>
      </c>
      <c r="AB4" s="56" t="s">
        <v>241</v>
      </c>
      <c r="AC4" s="56" t="s">
        <v>242</v>
      </c>
      <c r="AD4" s="7" t="s">
        <v>164</v>
      </c>
      <c r="AE4" s="7" t="s">
        <v>228</v>
      </c>
      <c r="AF4" s="7" t="s">
        <v>229</v>
      </c>
      <c r="AG4" s="7" t="s">
        <v>230</v>
      </c>
      <c r="AH4" s="7" t="s">
        <v>231</v>
      </c>
      <c r="AI4" s="7" t="s">
        <v>207</v>
      </c>
      <c r="AJ4" s="7" t="s">
        <v>232</v>
      </c>
      <c r="AK4" s="7" t="s">
        <v>233</v>
      </c>
      <c r="AL4" s="7" t="s">
        <v>216</v>
      </c>
      <c r="AM4" s="7" t="s">
        <v>234</v>
      </c>
      <c r="AN4" s="7" t="s">
        <v>171</v>
      </c>
      <c r="AO4" s="7" t="s">
        <v>173</v>
      </c>
      <c r="AP4" s="7" t="s">
        <v>235</v>
      </c>
      <c r="AQ4" s="7" t="s">
        <v>236</v>
      </c>
      <c r="AR4" s="7" t="s">
        <v>237</v>
      </c>
      <c r="AS4" s="7" t="s">
        <v>238</v>
      </c>
      <c r="AT4" s="7" t="s">
        <v>239</v>
      </c>
      <c r="AU4" s="7" t="s">
        <v>240</v>
      </c>
      <c r="AV4" s="7" t="s">
        <v>176</v>
      </c>
      <c r="AW4" s="7" t="s">
        <v>241</v>
      </c>
      <c r="AX4" s="7" t="s">
        <v>242</v>
      </c>
      <c r="AY4" s="7" t="s">
        <v>243</v>
      </c>
      <c r="AZ4" s="7" t="s">
        <v>244</v>
      </c>
    </row>
    <row r="5" customFormat="false" ht="28.35" hidden="false" customHeight="false" outlineLevel="0" collapsed="false">
      <c r="A5" s="51" t="s">
        <v>245</v>
      </c>
      <c r="B5" s="51" t="s">
        <v>246</v>
      </c>
      <c r="C5" s="51" t="s">
        <v>149</v>
      </c>
      <c r="D5" s="51" t="s">
        <v>247</v>
      </c>
      <c r="E5" s="51" t="s">
        <v>82</v>
      </c>
      <c r="F5" s="51" t="s">
        <v>83</v>
      </c>
      <c r="G5" s="51" t="s">
        <v>248</v>
      </c>
      <c r="H5" s="57" t="n">
        <f aca="false">VLOOKUP(F5,FX!$A$5:$B$8,2,FALSE())</f>
        <v>7.129</v>
      </c>
      <c r="I5" s="58" t="n">
        <v>394110.34</v>
      </c>
      <c r="J5" s="58" t="n">
        <v>387812.6</v>
      </c>
      <c r="K5" s="59" t="n">
        <f aca="false">IF(J5="","",I5-J5)</f>
        <v>6297.74000000005</v>
      </c>
      <c r="L5" s="58" t="n">
        <v>-416.17</v>
      </c>
      <c r="M5" s="58" t="n">
        <v>5414.5</v>
      </c>
      <c r="N5" s="59" t="n">
        <f aca="false">L5+M5</f>
        <v>4998.33</v>
      </c>
      <c r="O5" s="58" t="n">
        <v>1086.33</v>
      </c>
      <c r="P5" s="58" t="n">
        <v>-937.97</v>
      </c>
      <c r="Q5" s="58" t="n">
        <v>-1682.75</v>
      </c>
      <c r="R5" s="58" t="n">
        <v>-1730.96</v>
      </c>
      <c r="S5" s="58" t="n">
        <v>105437.29</v>
      </c>
      <c r="T5" s="58" t="n">
        <v>68503.08</v>
      </c>
      <c r="U5" s="58" t="n">
        <v>36934.21</v>
      </c>
      <c r="V5" s="58" t="n">
        <v>35684.15</v>
      </c>
      <c r="W5" s="58" t="n">
        <v>5870.23</v>
      </c>
      <c r="X5" s="58" t="n">
        <v>51155.55</v>
      </c>
      <c r="Y5" s="58" t="n">
        <v>56071.97</v>
      </c>
      <c r="Z5" s="58" t="n">
        <v>28128.19</v>
      </c>
      <c r="AA5" s="58" t="n">
        <v>6681.61</v>
      </c>
      <c r="AB5" s="58" t="n">
        <v>1526.94</v>
      </c>
      <c r="AC5" s="58" t="n">
        <v>3601.87</v>
      </c>
      <c r="AD5" s="58" t="n">
        <v>426902.93</v>
      </c>
      <c r="AE5" s="58" t="n">
        <v>418942.94</v>
      </c>
      <c r="AF5" s="59" t="n">
        <f aca="false">IF(AE5="","",AD5-AE5)</f>
        <v>7959.98999999999</v>
      </c>
      <c r="AG5" s="58" t="n">
        <v>-2219.46</v>
      </c>
      <c r="AH5" s="58" t="n">
        <v>5413.226</v>
      </c>
      <c r="AI5" s="59" t="n">
        <f aca="false">AG5+AH5</f>
        <v>3193.766</v>
      </c>
      <c r="AJ5" s="58" t="n">
        <v>1127.09</v>
      </c>
      <c r="AK5" s="58" t="n">
        <v>-2923.94</v>
      </c>
      <c r="AL5" s="58" t="n">
        <v>-3182.19</v>
      </c>
      <c r="AM5" s="58" t="n">
        <v>-3265.62</v>
      </c>
      <c r="AN5" s="58" t="n">
        <v>102314.8</v>
      </c>
      <c r="AO5" s="58" t="n">
        <v>65231.89</v>
      </c>
      <c r="AP5" s="58" t="n">
        <v>37082.92</v>
      </c>
      <c r="AQ5" s="58" t="n">
        <v>35817.85</v>
      </c>
      <c r="AR5" s="58" t="n">
        <v>3431.37</v>
      </c>
      <c r="AS5" s="58" t="n">
        <v>47001.62</v>
      </c>
      <c r="AT5" s="58" t="n">
        <v>52991.94</v>
      </c>
      <c r="AU5" s="58" t="n">
        <v>26254.21</v>
      </c>
      <c r="AV5" s="58" t="n">
        <v>4793.61</v>
      </c>
      <c r="AW5" s="58" t="n">
        <v>2433.08</v>
      </c>
      <c r="AX5" s="58" t="n">
        <v>5582.96</v>
      </c>
      <c r="AY5" s="60" t="s">
        <v>249</v>
      </c>
      <c r="AZ5" s="60" t="s">
        <v>250</v>
      </c>
    </row>
    <row r="6" customFormat="false" ht="15" hidden="false" customHeight="false" outlineLevel="0" collapsed="false">
      <c r="A6" s="42" t="s">
        <v>251</v>
      </c>
      <c r="B6" s="42" t="s">
        <v>84</v>
      </c>
      <c r="C6" s="42" t="s">
        <v>149</v>
      </c>
      <c r="D6" s="42" t="s">
        <v>252</v>
      </c>
      <c r="E6" s="42" t="s">
        <v>150</v>
      </c>
      <c r="F6" s="42" t="s">
        <v>83</v>
      </c>
      <c r="G6" s="42" t="s">
        <v>253</v>
      </c>
      <c r="H6" s="61" t="n">
        <f aca="false">VLOOKUP(F6,FX!$A$5:$B$8,2,FALSE())</f>
        <v>7.129</v>
      </c>
      <c r="I6" s="58" t="n">
        <v>2783583</v>
      </c>
      <c r="J6" s="58" t="n">
        <v>2341383</v>
      </c>
      <c r="K6" s="59" t="n">
        <f aca="false">IF(J6="","",I6-J6)</f>
        <v>442200</v>
      </c>
      <c r="L6" s="58" t="n">
        <v>55124</v>
      </c>
      <c r="M6" s="58" t="n">
        <v>116363</v>
      </c>
      <c r="N6" s="59" t="n">
        <f aca="false">L6+M6</f>
        <v>171487</v>
      </c>
      <c r="O6" s="58" t="n">
        <v>19247</v>
      </c>
      <c r="P6" s="58" t="n">
        <v>43184</v>
      </c>
      <c r="Q6" s="58" t="n">
        <v>35250</v>
      </c>
      <c r="R6" s="58" t="n">
        <v>31809</v>
      </c>
      <c r="S6" s="58" t="n">
        <v>2155617</v>
      </c>
      <c r="T6" s="58" t="n">
        <v>1165845</v>
      </c>
      <c r="U6" s="58" t="n">
        <v>989772</v>
      </c>
      <c r="V6" s="58" t="n">
        <v>830324</v>
      </c>
      <c r="W6" s="58" t="n">
        <v>152318</v>
      </c>
      <c r="X6" s="58" t="n">
        <v>522741</v>
      </c>
      <c r="Y6" s="58" t="n">
        <v>698553</v>
      </c>
      <c r="Z6" s="58" t="n">
        <v>532683</v>
      </c>
      <c r="AA6" s="58" t="n">
        <v>162496</v>
      </c>
      <c r="AB6" s="58" t="n">
        <v>133625</v>
      </c>
      <c r="AC6" s="58" t="n">
        <v>252435</v>
      </c>
      <c r="AD6" s="58" t="n">
        <v>3074562</v>
      </c>
      <c r="AE6" s="58" t="n">
        <v>2598935</v>
      </c>
      <c r="AF6" s="59" t="n">
        <f aca="false">IF(AE6="","",AD6-AE6)</f>
        <v>475627</v>
      </c>
      <c r="AG6" s="58" t="n">
        <v>83431</v>
      </c>
      <c r="AH6" s="58" t="n">
        <v>110243</v>
      </c>
      <c r="AI6" s="59" t="n">
        <f aca="false">AG6+AH6</f>
        <v>193674</v>
      </c>
      <c r="AJ6" s="58" t="n">
        <v>18601</v>
      </c>
      <c r="AK6" s="58" t="n">
        <v>70513</v>
      </c>
      <c r="AL6" s="58" t="n">
        <v>57547</v>
      </c>
      <c r="AM6" s="58" t="n">
        <v>50313</v>
      </c>
      <c r="AN6" s="58" t="n">
        <v>2084771</v>
      </c>
      <c r="AO6" s="58" t="n">
        <v>1108478</v>
      </c>
      <c r="AP6" s="58" t="n">
        <v>976293</v>
      </c>
      <c r="AQ6" s="58" t="n">
        <v>819922</v>
      </c>
      <c r="AR6" s="58" t="n">
        <v>146799</v>
      </c>
      <c r="AS6" s="58" t="n">
        <v>524515</v>
      </c>
      <c r="AT6" s="58" t="n">
        <v>673237</v>
      </c>
      <c r="AU6" s="58" t="n">
        <v>478233</v>
      </c>
      <c r="AV6" s="58" t="n">
        <v>149360</v>
      </c>
      <c r="AW6" s="58" t="n">
        <v>139206</v>
      </c>
      <c r="AX6" s="58" t="n">
        <v>267315</v>
      </c>
      <c r="AY6" s="60"/>
      <c r="AZ6" s="60" t="s">
        <v>254</v>
      </c>
    </row>
    <row r="7" customFormat="false" ht="15" hidden="false" customHeight="false" outlineLevel="0" collapsed="false">
      <c r="A7" s="42" t="s">
        <v>255</v>
      </c>
      <c r="B7" s="42" t="s">
        <v>86</v>
      </c>
      <c r="C7" s="42" t="s">
        <v>149</v>
      </c>
      <c r="D7" s="42" t="s">
        <v>252</v>
      </c>
      <c r="E7" s="42" t="s">
        <v>150</v>
      </c>
      <c r="F7" s="42" t="s">
        <v>83</v>
      </c>
      <c r="G7" s="42" t="s">
        <v>256</v>
      </c>
      <c r="H7" s="61" t="n">
        <f aca="false">VLOOKUP(F7,FX!$A$5:$B$8,2,FALSE())</f>
        <v>7.129</v>
      </c>
      <c r="I7" s="58" t="n">
        <v>2864469</v>
      </c>
      <c r="J7" s="58" t="n">
        <v>2246121</v>
      </c>
      <c r="K7" s="59" t="n">
        <f aca="false">IF(J7="","",I7-J7)</f>
        <v>618348</v>
      </c>
      <c r="L7" s="58" t="n">
        <v>246632</v>
      </c>
      <c r="M7" s="58" t="n">
        <v>237608</v>
      </c>
      <c r="N7" s="59" t="n">
        <f aca="false">L7+M7</f>
        <v>484240</v>
      </c>
      <c r="O7" s="58" t="n">
        <v>17567</v>
      </c>
      <c r="P7" s="58" t="n">
        <v>226149</v>
      </c>
      <c r="Q7" s="58" t="n">
        <v>172005</v>
      </c>
      <c r="R7" s="58" t="n">
        <v>157302</v>
      </c>
      <c r="S7" s="58" t="n">
        <v>2863458</v>
      </c>
      <c r="T7" s="58" t="n">
        <v>1032684</v>
      </c>
      <c r="U7" s="58" t="n">
        <v>1830774</v>
      </c>
      <c r="V7" s="58" t="n">
        <v>1617287</v>
      </c>
      <c r="W7" s="58" t="n">
        <v>238909</v>
      </c>
      <c r="X7" s="58" t="n">
        <v>599269</v>
      </c>
      <c r="Y7" s="58" t="n">
        <v>540229</v>
      </c>
      <c r="Z7" s="58" t="n">
        <v>356407</v>
      </c>
      <c r="AA7" s="58" t="n">
        <v>412510</v>
      </c>
      <c r="AB7" s="58" t="n">
        <v>292789</v>
      </c>
      <c r="AC7" s="58" t="n">
        <v>244276</v>
      </c>
      <c r="AD7" s="58" t="n">
        <v>2937981</v>
      </c>
      <c r="AE7" s="58" t="n">
        <v>2275223</v>
      </c>
      <c r="AF7" s="59" t="n">
        <f aca="false">IF(AE7="","",AD7-AE7)</f>
        <v>662758</v>
      </c>
      <c r="AG7" s="58" t="n">
        <v>267838</v>
      </c>
      <c r="AH7" s="58" t="n">
        <v>231331</v>
      </c>
      <c r="AI7" s="59" t="n">
        <f aca="false">AG7+AH7</f>
        <v>499169</v>
      </c>
      <c r="AJ7" s="58" t="n">
        <v>20731</v>
      </c>
      <c r="AK7" s="58" t="n">
        <v>241502</v>
      </c>
      <c r="AL7" s="58" t="n">
        <v>183747</v>
      </c>
      <c r="AM7" s="58" t="n">
        <v>164676</v>
      </c>
      <c r="AN7" s="58" t="n">
        <v>2753007</v>
      </c>
      <c r="AO7" s="58" t="n">
        <v>1043144</v>
      </c>
      <c r="AP7" s="58" t="n">
        <v>1709863</v>
      </c>
      <c r="AQ7" s="58" t="n">
        <v>1515371</v>
      </c>
      <c r="AR7" s="58" t="n">
        <v>216246</v>
      </c>
      <c r="AS7" s="58" t="n">
        <v>590844</v>
      </c>
      <c r="AT7" s="58" t="n">
        <v>637317</v>
      </c>
      <c r="AU7" s="58" t="n">
        <v>355752</v>
      </c>
      <c r="AV7" s="58" t="n">
        <v>406532</v>
      </c>
      <c r="AW7" s="58" t="n">
        <v>302651</v>
      </c>
      <c r="AX7" s="58" t="n">
        <v>266012</v>
      </c>
      <c r="AY7" s="60"/>
      <c r="AZ7" s="60" t="s">
        <v>254</v>
      </c>
    </row>
    <row r="8" customFormat="false" ht="15" hidden="false" customHeight="false" outlineLevel="0" collapsed="false">
      <c r="A8" s="42" t="s">
        <v>257</v>
      </c>
      <c r="B8" s="42" t="s">
        <v>87</v>
      </c>
      <c r="C8" s="42" t="s">
        <v>149</v>
      </c>
      <c r="D8" s="42" t="s">
        <v>258</v>
      </c>
      <c r="E8" s="42" t="s">
        <v>150</v>
      </c>
      <c r="F8" s="42" t="s">
        <v>83</v>
      </c>
      <c r="G8" s="42" t="s">
        <v>259</v>
      </c>
      <c r="H8" s="61" t="n">
        <f aca="false">VLOOKUP(F8,FX!$A$5:$B$8,2,FALSE())</f>
        <v>7.129</v>
      </c>
      <c r="I8" s="58" t="n">
        <v>201087.301</v>
      </c>
      <c r="J8" s="58" t="n">
        <v>174568.467</v>
      </c>
      <c r="K8" s="59" t="n">
        <f aca="false">IF(J8="","",I8-J8)</f>
        <v>26518.834</v>
      </c>
      <c r="L8" s="58" t="n">
        <v>13690.961</v>
      </c>
      <c r="M8" s="58" t="n">
        <v>12396.317</v>
      </c>
      <c r="N8" s="59" t="n">
        <f aca="false">L8+M8</f>
        <v>26087.278</v>
      </c>
      <c r="O8" s="58" t="n">
        <v>4060.787</v>
      </c>
      <c r="P8" s="58" t="n">
        <v>9420.392</v>
      </c>
      <c r="Q8" s="58" t="n">
        <v>7074.154</v>
      </c>
      <c r="R8" s="58" t="n">
        <v>7074.582</v>
      </c>
      <c r="S8" s="58" t="n">
        <v>262258.99</v>
      </c>
      <c r="T8" s="58" t="n">
        <v>195467.718</v>
      </c>
      <c r="U8" s="58" t="n">
        <v>66791.271</v>
      </c>
      <c r="V8" s="58" t="n">
        <v>66773.314</v>
      </c>
      <c r="W8" s="58" t="n">
        <v>29452.553</v>
      </c>
      <c r="X8" s="58" t="n">
        <v>71169.625</v>
      </c>
      <c r="Y8" s="58" t="n">
        <v>127742.868</v>
      </c>
      <c r="Z8" s="58" t="n">
        <v>151639.572</v>
      </c>
      <c r="AA8" s="58" t="n">
        <v>31121.789</v>
      </c>
      <c r="AB8" s="58" t="n">
        <v>7111.242</v>
      </c>
      <c r="AC8" s="58" t="n">
        <v>8968.754</v>
      </c>
      <c r="AD8" s="58" t="n">
        <v>236400.576</v>
      </c>
      <c r="AE8" s="58" t="n">
        <v>212983.332</v>
      </c>
      <c r="AF8" s="59" t="n">
        <f aca="false">IF(AE8="","",AD8-AE8)</f>
        <v>23417.244</v>
      </c>
      <c r="AG8" s="58" t="n">
        <v>13783.138</v>
      </c>
      <c r="AH8" s="58" t="n">
        <v>11038.417</v>
      </c>
      <c r="AI8" s="59" t="n">
        <f aca="false">AG8+AH8</f>
        <v>24821.555</v>
      </c>
      <c r="AJ8" s="58" t="n">
        <v>4342.84</v>
      </c>
      <c r="AK8" s="58" t="n">
        <v>8819.786</v>
      </c>
      <c r="AL8" s="58" t="n">
        <v>7053.007</v>
      </c>
      <c r="AM8" s="58" t="n">
        <v>7043.568</v>
      </c>
      <c r="AN8" s="58" t="n">
        <v>273082.87</v>
      </c>
      <c r="AO8" s="58" t="n">
        <v>209665.307</v>
      </c>
      <c r="AP8" s="58" t="n">
        <v>63417.563</v>
      </c>
      <c r="AQ8" s="58" t="n">
        <v>63399.177</v>
      </c>
      <c r="AR8" s="58" t="n">
        <v>30836.641</v>
      </c>
      <c r="AS8" s="58" t="n">
        <v>73269.556</v>
      </c>
      <c r="AT8" s="58" t="n">
        <v>130879.306</v>
      </c>
      <c r="AU8" s="58" t="n">
        <v>166517.344</v>
      </c>
      <c r="AV8" s="58" t="n">
        <v>22732.565</v>
      </c>
      <c r="AW8" s="58" t="n">
        <v>21814.134</v>
      </c>
      <c r="AX8" s="58" t="n">
        <v>6423.608</v>
      </c>
      <c r="AY8" s="60"/>
      <c r="AZ8" s="60" t="s">
        <v>254</v>
      </c>
    </row>
    <row r="9" customFormat="false" ht="15" hidden="false" customHeight="false" outlineLevel="0" collapsed="false">
      <c r="A9" s="42" t="s">
        <v>260</v>
      </c>
      <c r="B9" s="42" t="s">
        <v>89</v>
      </c>
      <c r="C9" s="42" t="s">
        <v>149</v>
      </c>
      <c r="D9" s="42" t="s">
        <v>258</v>
      </c>
      <c r="E9" s="42" t="s">
        <v>150</v>
      </c>
      <c r="F9" s="42" t="s">
        <v>83</v>
      </c>
      <c r="G9" s="42" t="s">
        <v>261</v>
      </c>
      <c r="H9" s="61" t="n">
        <f aca="false">VLOOKUP(F9,FX!$A$5:$B$8,2,FALSE())</f>
        <v>7.129</v>
      </c>
      <c r="I9" s="58" t="n">
        <v>308622.318</v>
      </c>
      <c r="J9" s="58" t="n">
        <v>270923.587</v>
      </c>
      <c r="K9" s="59" t="n">
        <f aca="false">IF(J9="","",I9-J9)</f>
        <v>37698.731</v>
      </c>
      <c r="L9" s="58" t="n">
        <v>8957.646</v>
      </c>
      <c r="M9" s="58" t="n">
        <v>17360.957</v>
      </c>
      <c r="N9" s="59" t="n">
        <f aca="false">L9+M9</f>
        <v>26318.603</v>
      </c>
      <c r="O9" s="58" t="n">
        <v>5829.241</v>
      </c>
      <c r="P9" s="58" t="n">
        <v>3290.172</v>
      </c>
      <c r="Q9" s="58" t="n">
        <v>3248.859</v>
      </c>
      <c r="R9" s="58" t="n">
        <v>848.314</v>
      </c>
      <c r="S9" s="58" t="n">
        <v>386633.124</v>
      </c>
      <c r="T9" s="58" t="n">
        <v>289641.285</v>
      </c>
      <c r="U9" s="58" t="n">
        <v>96991.839</v>
      </c>
      <c r="V9" s="58" t="n">
        <v>43593.523</v>
      </c>
      <c r="W9" s="58" t="n">
        <v>13499.669</v>
      </c>
      <c r="X9" s="58" t="n">
        <v>64953.645</v>
      </c>
      <c r="Y9" s="58" t="n">
        <v>165121.361</v>
      </c>
      <c r="Z9" s="58" t="n">
        <v>208122.196</v>
      </c>
      <c r="AA9" s="58" t="n">
        <v>45406.467</v>
      </c>
      <c r="AB9" s="58" t="n">
        <v>42681.846</v>
      </c>
      <c r="AC9" s="58" t="n">
        <v>24180.177</v>
      </c>
      <c r="AD9" s="58" t="n">
        <v>326475.163</v>
      </c>
      <c r="AE9" s="58" t="n">
        <v>288990.544</v>
      </c>
      <c r="AF9" s="59" t="n">
        <f aca="false">IF(AE9="","",AD9-AE9)</f>
        <v>37484.619</v>
      </c>
      <c r="AG9" s="58" t="n">
        <v>9135.613</v>
      </c>
      <c r="AH9" s="58" t="n">
        <v>15253.928</v>
      </c>
      <c r="AI9" s="59" t="n">
        <f aca="false">AG9+AH9</f>
        <v>24389.541</v>
      </c>
      <c r="AJ9" s="58" t="n">
        <v>7077.036</v>
      </c>
      <c r="AK9" s="58" t="n">
        <v>1905.717</v>
      </c>
      <c r="AL9" s="58" t="n">
        <v>2125.32</v>
      </c>
      <c r="AM9" s="58" t="n">
        <v>724.485</v>
      </c>
      <c r="AN9" s="58" t="n">
        <v>377845.944</v>
      </c>
      <c r="AO9" s="58" t="n">
        <v>283021.814</v>
      </c>
      <c r="AP9" s="58" t="n">
        <v>94824.13</v>
      </c>
      <c r="AQ9" s="58" t="n">
        <v>43859.172</v>
      </c>
      <c r="AR9" s="58" t="n">
        <v>14833.385</v>
      </c>
      <c r="AS9" s="58" t="n">
        <v>78302.92</v>
      </c>
      <c r="AT9" s="58" t="n">
        <v>161555.861</v>
      </c>
      <c r="AU9" s="58" t="n">
        <v>202103.43</v>
      </c>
      <c r="AV9" s="58" t="n">
        <v>34609.127</v>
      </c>
      <c r="AW9" s="58" t="n">
        <v>31582.216</v>
      </c>
      <c r="AX9" s="58" t="n">
        <v>24897.44</v>
      </c>
      <c r="AY9" s="60"/>
      <c r="AZ9" s="60" t="s">
        <v>254</v>
      </c>
    </row>
    <row r="10" customFormat="false" ht="15" hidden="false" customHeight="false" outlineLevel="0" collapsed="false">
      <c r="A10" s="42" t="s">
        <v>262</v>
      </c>
      <c r="B10" s="42" t="s">
        <v>90</v>
      </c>
      <c r="C10" s="42" t="s">
        <v>149</v>
      </c>
      <c r="D10" s="42" t="s">
        <v>263</v>
      </c>
      <c r="E10" s="42" t="s">
        <v>150</v>
      </c>
      <c r="F10" s="42" t="s">
        <v>83</v>
      </c>
      <c r="G10" s="42" t="s">
        <v>264</v>
      </c>
      <c r="H10" s="61" t="n">
        <f aca="false">VLOOKUP(F10,FX!$A$5:$B$8,2,FALSE())</f>
        <v>7.129</v>
      </c>
      <c r="I10" s="58" t="n">
        <v>75563.186</v>
      </c>
      <c r="J10" s="58" t="n">
        <v>63584.794</v>
      </c>
      <c r="K10" s="59" t="n">
        <f aca="false">IF(J10="","",I10-J10)</f>
        <v>11978.392</v>
      </c>
      <c r="L10" s="58" t="n">
        <v>-1590.727</v>
      </c>
      <c r="M10" s="58" t="n">
        <v>3822.59</v>
      </c>
      <c r="N10" s="59" t="n">
        <f aca="false">L10+M10</f>
        <v>2231.863</v>
      </c>
      <c r="O10" s="58" t="n">
        <v>16.326</v>
      </c>
      <c r="P10" s="58" t="n">
        <v>-1488.866</v>
      </c>
      <c r="Q10" s="58" t="n">
        <v>-1430.352</v>
      </c>
      <c r="R10" s="58" t="n">
        <v>-1432.595</v>
      </c>
      <c r="S10" s="58" t="n">
        <v>42556.634</v>
      </c>
      <c r="T10" s="58" t="n">
        <v>18930.32</v>
      </c>
      <c r="U10" s="58" t="n">
        <v>23626.314</v>
      </c>
      <c r="V10" s="58" t="n">
        <v>23132.313</v>
      </c>
      <c r="W10" s="58" t="n">
        <v>7555.275</v>
      </c>
      <c r="X10" s="58" t="n">
        <v>15176.605</v>
      </c>
      <c r="Y10" s="58" t="n">
        <v>16260.44</v>
      </c>
      <c r="Z10" s="58" t="n">
        <v>2620.442</v>
      </c>
      <c r="AA10" s="58" t="n">
        <v>1993.33</v>
      </c>
      <c r="AB10" s="58" t="n">
        <v>3168.558</v>
      </c>
      <c r="AC10" s="58" t="n">
        <v>11505.216</v>
      </c>
      <c r="AD10" s="58" t="n">
        <v>87132.82</v>
      </c>
      <c r="AE10" s="58" t="n">
        <v>72045.29</v>
      </c>
      <c r="AF10" s="59" t="n">
        <f aca="false">IF(AE10="","",AD10-AE10)</f>
        <v>15087.53</v>
      </c>
      <c r="AG10" s="58" t="n">
        <v>294.81</v>
      </c>
      <c r="AH10" s="58" t="n">
        <v>3851.838</v>
      </c>
      <c r="AI10" s="59" t="n">
        <f aca="false">AG10+AH10</f>
        <v>4146.648</v>
      </c>
      <c r="AJ10" s="58" t="n">
        <v>114.987</v>
      </c>
      <c r="AK10" s="58" t="n">
        <v>428.835</v>
      </c>
      <c r="AL10" s="58" t="n">
        <v>322.517</v>
      </c>
      <c r="AM10" s="58" t="n">
        <v>316.5</v>
      </c>
      <c r="AN10" s="58" t="n">
        <v>41769.339</v>
      </c>
      <c r="AO10" s="58" t="n">
        <v>16624.844</v>
      </c>
      <c r="AP10" s="58" t="n">
        <v>25144.495</v>
      </c>
      <c r="AQ10" s="58" t="n">
        <v>25040.254</v>
      </c>
      <c r="AR10" s="58" t="n">
        <v>12096.477</v>
      </c>
      <c r="AS10" s="58" t="n">
        <v>20633.139</v>
      </c>
      <c r="AT10" s="58" t="n">
        <v>16289.047</v>
      </c>
      <c r="AU10" s="58" t="n">
        <v>1569.976</v>
      </c>
      <c r="AV10" s="58" t="n">
        <v>7740.447</v>
      </c>
      <c r="AW10" s="58" t="n">
        <v>1905.621</v>
      </c>
      <c r="AX10" s="58" t="n">
        <v>12777.797</v>
      </c>
      <c r="AY10" s="60"/>
      <c r="AZ10" s="60" t="s">
        <v>254</v>
      </c>
    </row>
    <row r="11" customFormat="false" ht="28.35" hidden="false" customHeight="false" outlineLevel="0" collapsed="false">
      <c r="A11" s="51" t="s">
        <v>265</v>
      </c>
      <c r="B11" s="51" t="s">
        <v>48</v>
      </c>
      <c r="C11" s="51" t="s">
        <v>151</v>
      </c>
      <c r="D11" s="51" t="s">
        <v>266</v>
      </c>
      <c r="E11" s="51" t="s">
        <v>82</v>
      </c>
      <c r="F11" s="51" t="s">
        <v>101</v>
      </c>
      <c r="G11" s="51" t="s">
        <v>267</v>
      </c>
      <c r="H11" s="57" t="n">
        <f aca="false">VLOOKUP(F11,FX!$A$5:$B$8,2,FALSE())</f>
        <v>1</v>
      </c>
      <c r="I11" s="58" t="n">
        <v>16999</v>
      </c>
      <c r="J11" s="58" t="n">
        <v>10281</v>
      </c>
      <c r="K11" s="59" t="n">
        <f aca="false">IF(J11="","",I11-J11)</f>
        <v>6718</v>
      </c>
      <c r="L11" s="58" t="n">
        <v>1229</v>
      </c>
      <c r="M11" s="58" t="n">
        <v>878</v>
      </c>
      <c r="N11" s="59" t="n">
        <f aca="false">L11+M11</f>
        <v>2107</v>
      </c>
      <c r="O11" s="58" t="n">
        <v>774</v>
      </c>
      <c r="P11" s="58" t="n">
        <v>613</v>
      </c>
      <c r="Q11" s="58" t="n">
        <v>-152</v>
      </c>
      <c r="R11" s="58" t="n">
        <v>-156</v>
      </c>
      <c r="S11" s="58" t="n">
        <v>30799</v>
      </c>
      <c r="T11" s="58" t="n">
        <v>23412</v>
      </c>
      <c r="U11" s="58" t="n">
        <v>7387</v>
      </c>
      <c r="V11" s="58" t="n">
        <v>7352</v>
      </c>
      <c r="W11" s="58" t="n">
        <v>677</v>
      </c>
      <c r="X11" s="58" t="n">
        <v>14922</v>
      </c>
      <c r="Y11" s="58" t="n">
        <v>14082</v>
      </c>
      <c r="Z11" s="58" t="n">
        <v>10531</v>
      </c>
      <c r="AA11" s="58" t="n">
        <v>1526</v>
      </c>
      <c r="AB11" s="58" t="n">
        <v>1217</v>
      </c>
      <c r="AC11" s="58"/>
      <c r="AD11" s="58" t="n">
        <v>16981</v>
      </c>
      <c r="AE11" s="58" t="n">
        <v>10887</v>
      </c>
      <c r="AF11" s="59" t="n">
        <f aca="false">IF(AE11="","",AD11-AE11)</f>
        <v>6094</v>
      </c>
      <c r="AG11" s="58" t="n">
        <v>1431</v>
      </c>
      <c r="AH11" s="58" t="n">
        <v>861</v>
      </c>
      <c r="AI11" s="59" t="n">
        <f aca="false">AG11+AH11</f>
        <v>2292</v>
      </c>
      <c r="AJ11" s="58" t="n">
        <v>903</v>
      </c>
      <c r="AK11" s="58" t="n">
        <v>694</v>
      </c>
      <c r="AL11" s="58" t="n">
        <v>261</v>
      </c>
      <c r="AM11" s="58" t="n">
        <v>269</v>
      </c>
      <c r="AN11" s="58" t="n">
        <v>29445</v>
      </c>
      <c r="AO11" s="58" t="n">
        <v>22184</v>
      </c>
      <c r="AP11" s="58" t="n">
        <v>7261</v>
      </c>
      <c r="AQ11" s="58" t="n">
        <v>7246</v>
      </c>
      <c r="AR11" s="58" t="n">
        <v>1025</v>
      </c>
      <c r="AS11" s="58" t="n">
        <v>15100</v>
      </c>
      <c r="AT11" s="58" t="n">
        <v>12208</v>
      </c>
      <c r="AU11" s="58" t="n">
        <v>10792</v>
      </c>
      <c r="AV11" s="58" t="n">
        <v>2571</v>
      </c>
      <c r="AW11" s="58" t="n">
        <v>1364</v>
      </c>
      <c r="AX11" s="58"/>
      <c r="AY11" s="60" t="s">
        <v>268</v>
      </c>
      <c r="AZ11" s="60" t="s">
        <v>269</v>
      </c>
    </row>
    <row r="12" customFormat="false" ht="15" hidden="false" customHeight="false" outlineLevel="0" collapsed="false">
      <c r="A12" s="51" t="s">
        <v>270</v>
      </c>
      <c r="B12" s="51" t="s">
        <v>50</v>
      </c>
      <c r="C12" s="51" t="s">
        <v>151</v>
      </c>
      <c r="D12" s="51" t="s">
        <v>271</v>
      </c>
      <c r="E12" s="51" t="s">
        <v>82</v>
      </c>
      <c r="F12" s="51" t="s">
        <v>83</v>
      </c>
      <c r="G12" s="51" t="s">
        <v>272</v>
      </c>
      <c r="H12" s="57" t="n">
        <f aca="false">VLOOKUP(F12,FX!$A$5:$B$8,2,FALSE())</f>
        <v>7.129</v>
      </c>
      <c r="I12" s="58" t="n">
        <v>28944.586</v>
      </c>
      <c r="J12" s="58" t="n">
        <v>21321.853</v>
      </c>
      <c r="K12" s="59" t="n">
        <f aca="false">IF(J12="","",I12-J12)</f>
        <v>7622.733</v>
      </c>
      <c r="L12" s="58" t="n">
        <v>1335.329</v>
      </c>
      <c r="M12" s="58" t="n">
        <v>2103.733</v>
      </c>
      <c r="N12" s="59" t="n">
        <f aca="false">L12+M12</f>
        <v>3439.062</v>
      </c>
      <c r="O12" s="58" t="n">
        <v>1021.329</v>
      </c>
      <c r="P12" s="58" t="n">
        <v>-699.598</v>
      </c>
      <c r="Q12" s="58" t="n">
        <v>-1045.719</v>
      </c>
      <c r="R12" s="58" t="n">
        <v>-1045.719</v>
      </c>
      <c r="S12" s="58" t="n">
        <v>48463.962</v>
      </c>
      <c r="T12" s="58" t="n">
        <v>30888.536</v>
      </c>
      <c r="U12" s="58" t="n">
        <v>17575.426</v>
      </c>
      <c r="V12" s="58" t="n">
        <v>17575.426</v>
      </c>
      <c r="W12" s="58" t="n">
        <v>3450.3</v>
      </c>
      <c r="X12" s="58" t="n">
        <v>25561.185</v>
      </c>
      <c r="Y12" s="58" t="n">
        <v>22385.719</v>
      </c>
      <c r="Z12" s="58" t="n">
        <v>17651.811</v>
      </c>
      <c r="AA12" s="58" t="n">
        <v>4048.693</v>
      </c>
      <c r="AB12" s="58" t="n">
        <v>1213.66</v>
      </c>
      <c r="AC12" s="58" t="n">
        <v>102.238</v>
      </c>
      <c r="AD12" s="58" t="n">
        <v>29488.046</v>
      </c>
      <c r="AE12" s="58" t="n">
        <v>22748.925</v>
      </c>
      <c r="AF12" s="59" t="n">
        <f aca="false">IF(AE12="","",AD12-AE12)</f>
        <v>6739.121</v>
      </c>
      <c r="AG12" s="58" t="n">
        <v>-412.258</v>
      </c>
      <c r="AH12" s="58" t="n">
        <v>2165.671</v>
      </c>
      <c r="AI12" s="59" t="n">
        <f aca="false">AG12+AH12</f>
        <v>1753.413</v>
      </c>
      <c r="AJ12" s="58" t="n">
        <v>1054.856</v>
      </c>
      <c r="AK12" s="58" t="n">
        <v>-2124.302</v>
      </c>
      <c r="AL12" s="58" t="n">
        <v>-2903.204</v>
      </c>
      <c r="AM12" s="58" t="n">
        <v>-2903.204</v>
      </c>
      <c r="AN12" s="58" t="n">
        <v>50059.777</v>
      </c>
      <c r="AO12" s="58" t="n">
        <v>31068.683</v>
      </c>
      <c r="AP12" s="58" t="n">
        <v>18991.094</v>
      </c>
      <c r="AQ12" s="58" t="n">
        <v>18991.094</v>
      </c>
      <c r="AR12" s="58" t="n">
        <v>3630.608</v>
      </c>
      <c r="AS12" s="58" t="n">
        <v>25917.39</v>
      </c>
      <c r="AT12" s="58" t="n">
        <v>18013.457</v>
      </c>
      <c r="AU12" s="58" t="n">
        <v>16076.63</v>
      </c>
      <c r="AV12" s="58" t="n">
        <v>3760.631</v>
      </c>
      <c r="AW12" s="58" t="n">
        <v>1423.51</v>
      </c>
      <c r="AX12" s="58" t="n">
        <v>100.327</v>
      </c>
      <c r="AY12" s="60" t="s">
        <v>273</v>
      </c>
      <c r="AZ12" s="60" t="s">
        <v>254</v>
      </c>
    </row>
    <row r="13" customFormat="false" ht="15" hidden="false" customHeight="false" outlineLevel="0" collapsed="false">
      <c r="A13" s="51" t="s">
        <v>274</v>
      </c>
      <c r="B13" s="51" t="s">
        <v>51</v>
      </c>
      <c r="C13" s="51" t="s">
        <v>151</v>
      </c>
      <c r="D13" s="51" t="s">
        <v>275</v>
      </c>
      <c r="E13" s="51" t="s">
        <v>82</v>
      </c>
      <c r="F13" s="51" t="s">
        <v>83</v>
      </c>
      <c r="G13" s="51" t="s">
        <v>276</v>
      </c>
      <c r="H13" s="57" t="n">
        <f aca="false">VLOOKUP(F13,FX!$A$5:$B$8,2,FALSE())</f>
        <v>7.129</v>
      </c>
      <c r="I13" s="58" t="n">
        <v>11870.428</v>
      </c>
      <c r="J13" s="58" t="n">
        <v>9259.871</v>
      </c>
      <c r="K13" s="59" t="n">
        <f aca="false">IF(J13="","",I13-J13)</f>
        <v>2610.557</v>
      </c>
      <c r="L13" s="58" t="n">
        <v>1460.232</v>
      </c>
      <c r="M13" s="58" t="n">
        <v>1602.382</v>
      </c>
      <c r="N13" s="59" t="n">
        <f aca="false">L13+M13</f>
        <v>3062.614</v>
      </c>
      <c r="O13" s="58" t="n">
        <v>41.387</v>
      </c>
      <c r="P13" s="58" t="n">
        <v>1511.305</v>
      </c>
      <c r="Q13" s="58" t="n">
        <v>1286.584</v>
      </c>
      <c r="R13" s="58" t="n">
        <v>1285.954</v>
      </c>
      <c r="S13" s="58" t="n">
        <v>18186.516</v>
      </c>
      <c r="T13" s="58" t="n">
        <v>6712.428</v>
      </c>
      <c r="U13" s="58" t="n">
        <v>11474.088</v>
      </c>
      <c r="V13" s="58" t="n">
        <v>11466.923</v>
      </c>
      <c r="W13" s="58" t="n">
        <v>1331.604</v>
      </c>
      <c r="X13" s="58" t="n">
        <v>8577.956</v>
      </c>
      <c r="Y13" s="58" t="n">
        <v>6223.578</v>
      </c>
      <c r="Z13" s="58" t="n">
        <v>910.849</v>
      </c>
      <c r="AA13" s="58" t="n">
        <v>2216.729</v>
      </c>
      <c r="AB13" s="58" t="n">
        <v>961.328</v>
      </c>
      <c r="AC13" s="58" t="n">
        <v>45.565</v>
      </c>
      <c r="AD13" s="58" t="n">
        <v>10434.773</v>
      </c>
      <c r="AE13" s="58" t="n">
        <v>8023.209</v>
      </c>
      <c r="AF13" s="59" t="n">
        <f aca="false">IF(AE13="","",AD13-AE13)</f>
        <v>2411.564</v>
      </c>
      <c r="AG13" s="58" t="n">
        <v>1348.266</v>
      </c>
      <c r="AH13" s="58" t="n">
        <v>720.014</v>
      </c>
      <c r="AI13" s="59" t="n">
        <f aca="false">AG13+AH13</f>
        <v>2068.28</v>
      </c>
      <c r="AJ13" s="58" t="n">
        <v>64.615</v>
      </c>
      <c r="AK13" s="58" t="n">
        <v>1406.122</v>
      </c>
      <c r="AL13" s="58" t="n">
        <v>1202.956</v>
      </c>
      <c r="AM13" s="58" t="n">
        <v>1202.08</v>
      </c>
      <c r="AN13" s="58" t="n">
        <v>17664.818</v>
      </c>
      <c r="AO13" s="58" t="n">
        <v>7122.252</v>
      </c>
      <c r="AP13" s="58" t="n">
        <v>10542.567</v>
      </c>
      <c r="AQ13" s="58" t="n">
        <v>10535.931</v>
      </c>
      <c r="AR13" s="58" t="n">
        <v>1618.027</v>
      </c>
      <c r="AS13" s="58" t="n">
        <v>7181.951</v>
      </c>
      <c r="AT13" s="58" t="n">
        <v>6628.99</v>
      </c>
      <c r="AU13" s="58" t="n">
        <v>1193.231</v>
      </c>
      <c r="AV13" s="58" t="n">
        <v>2155.313</v>
      </c>
      <c r="AW13" s="58" t="n">
        <v>1835.194</v>
      </c>
      <c r="AX13" s="58" t="n">
        <v>35.29</v>
      </c>
      <c r="AY13" s="60" t="s">
        <v>273</v>
      </c>
      <c r="AZ13" s="60" t="s">
        <v>254</v>
      </c>
    </row>
    <row r="14" customFormat="false" ht="15" hidden="false" customHeight="false" outlineLevel="0" collapsed="false">
      <c r="A14" s="51" t="s">
        <v>277</v>
      </c>
      <c r="B14" s="51" t="s">
        <v>52</v>
      </c>
      <c r="C14" s="51" t="s">
        <v>151</v>
      </c>
      <c r="D14" s="51" t="s">
        <v>278</v>
      </c>
      <c r="E14" s="51" t="s">
        <v>82</v>
      </c>
      <c r="F14" s="51" t="s">
        <v>83</v>
      </c>
      <c r="G14" s="51" t="s">
        <v>279</v>
      </c>
      <c r="H14" s="57" t="n">
        <f aca="false">VLOOKUP(F14,FX!$A$5:$B$8,2,FALSE())</f>
        <v>7.129</v>
      </c>
      <c r="I14" s="58" t="n">
        <v>23263.105</v>
      </c>
      <c r="J14" s="58" t="n">
        <v>20369.787</v>
      </c>
      <c r="K14" s="59" t="n">
        <f aca="false">IF(J14="","",I14-J14)</f>
        <v>2893.318</v>
      </c>
      <c r="L14" s="58" t="n">
        <v>1498.025</v>
      </c>
      <c r="M14" s="58" t="n">
        <v>487.134</v>
      </c>
      <c r="N14" s="59" t="n">
        <f aca="false">L14+M14</f>
        <v>1985.159</v>
      </c>
      <c r="O14" s="58" t="n">
        <v>45.083</v>
      </c>
      <c r="P14" s="58" t="n">
        <v>1548.747</v>
      </c>
      <c r="Q14" s="58" t="n">
        <v>1273.304</v>
      </c>
      <c r="R14" s="58" t="n">
        <v>1259.377</v>
      </c>
      <c r="S14" s="58" t="n">
        <v>23588.35</v>
      </c>
      <c r="T14" s="58" t="n">
        <v>12133.883</v>
      </c>
      <c r="U14" s="58" t="n">
        <v>11454.467</v>
      </c>
      <c r="V14" s="58" t="n">
        <v>11223.575</v>
      </c>
      <c r="W14" s="58" t="n">
        <v>2928.295</v>
      </c>
      <c r="X14" s="58" t="n">
        <v>13991.024</v>
      </c>
      <c r="Y14" s="58" t="n">
        <v>11302.442</v>
      </c>
      <c r="Z14" s="58" t="n">
        <v>1507.279</v>
      </c>
      <c r="AA14" s="58" t="n">
        <v>1993.785</v>
      </c>
      <c r="AB14" s="58" t="n">
        <v>343.165</v>
      </c>
      <c r="AC14" s="58"/>
      <c r="AD14" s="58" t="n">
        <v>21264.854</v>
      </c>
      <c r="AE14" s="58" t="n">
        <v>18721.016</v>
      </c>
      <c r="AF14" s="59" t="n">
        <f aca="false">IF(AE14="","",AD14-AE14)</f>
        <v>2543.838</v>
      </c>
      <c r="AG14" s="58" t="n">
        <v>1057.943</v>
      </c>
      <c r="AH14" s="58" t="n">
        <v>462.27</v>
      </c>
      <c r="AI14" s="59" t="n">
        <f aca="false">AG14+AH14</f>
        <v>1520.213</v>
      </c>
      <c r="AJ14" s="58" t="n">
        <v>57.379</v>
      </c>
      <c r="AK14" s="58" t="n">
        <v>1224.01</v>
      </c>
      <c r="AL14" s="58" t="n">
        <v>1074.991</v>
      </c>
      <c r="AM14" s="58" t="n">
        <v>1061.48</v>
      </c>
      <c r="AN14" s="58" t="n">
        <v>21417.216</v>
      </c>
      <c r="AO14" s="58" t="n">
        <v>10782.098</v>
      </c>
      <c r="AP14" s="58" t="n">
        <v>10635.118</v>
      </c>
      <c r="AQ14" s="58" t="n">
        <v>10417.266</v>
      </c>
      <c r="AR14" s="58" t="n">
        <v>3103.537</v>
      </c>
      <c r="AS14" s="58" t="n">
        <v>12390.919</v>
      </c>
      <c r="AT14" s="58" t="n">
        <v>9612.985</v>
      </c>
      <c r="AU14" s="58" t="n">
        <v>1870.216</v>
      </c>
      <c r="AV14" s="58" t="n">
        <v>1042.228</v>
      </c>
      <c r="AW14" s="58" t="n">
        <v>275.603</v>
      </c>
      <c r="AX14" s="58"/>
      <c r="AY14" s="60" t="s">
        <v>280</v>
      </c>
      <c r="AZ14" s="60" t="s">
        <v>281</v>
      </c>
    </row>
    <row r="15" customFormat="false" ht="15" hidden="false" customHeight="false" outlineLevel="0" collapsed="false">
      <c r="A15" s="42" t="s">
        <v>282</v>
      </c>
      <c r="B15" s="42" t="s">
        <v>105</v>
      </c>
      <c r="C15" s="42" t="s">
        <v>151</v>
      </c>
      <c r="D15" s="42" t="s">
        <v>266</v>
      </c>
      <c r="E15" s="42" t="s">
        <v>150</v>
      </c>
      <c r="F15" s="42" t="s">
        <v>101</v>
      </c>
      <c r="G15" s="42" t="s">
        <v>283</v>
      </c>
      <c r="H15" s="61" t="n">
        <f aca="false">VLOOKUP(F15,FX!$A$5:$B$8,2,FALSE())</f>
        <v>1</v>
      </c>
      <c r="I15" s="58" t="n">
        <v>17401</v>
      </c>
      <c r="J15" s="58" t="n">
        <v>9172</v>
      </c>
      <c r="K15" s="59" t="n">
        <f aca="false">IF(J15="","",I15-J15)</f>
        <v>8229</v>
      </c>
      <c r="L15" s="58" t="n">
        <v>1868</v>
      </c>
      <c r="M15" s="58" t="n">
        <v>1203</v>
      </c>
      <c r="N15" s="59" t="n">
        <f aca="false">L15+M15</f>
        <v>3071</v>
      </c>
      <c r="O15" s="58" t="n">
        <v>180</v>
      </c>
      <c r="P15" s="58" t="n">
        <v>1688</v>
      </c>
      <c r="Q15" s="58" t="n">
        <v>1105</v>
      </c>
      <c r="R15" s="58" t="n">
        <v>1094</v>
      </c>
      <c r="S15" s="58" t="n">
        <v>42845</v>
      </c>
      <c r="T15" s="58" t="n">
        <v>18459</v>
      </c>
      <c r="U15" s="58" t="n">
        <v>24386</v>
      </c>
      <c r="V15" s="58" t="n">
        <v>24144</v>
      </c>
      <c r="W15" s="58" t="n">
        <v>4521</v>
      </c>
      <c r="X15" s="58" t="n">
        <v>17335</v>
      </c>
      <c r="Y15" s="58" t="n">
        <v>12125</v>
      </c>
      <c r="Z15" s="58" t="n">
        <v>2580</v>
      </c>
      <c r="AA15" s="58" t="n">
        <v>3406</v>
      </c>
      <c r="AB15" s="58" t="n">
        <v>591</v>
      </c>
      <c r="AC15" s="58"/>
      <c r="AD15" s="58" t="n">
        <v>16908</v>
      </c>
      <c r="AE15" s="58" t="n">
        <v>9529</v>
      </c>
      <c r="AF15" s="59" t="n">
        <f aca="false">IF(AE15="","",AD15-AE15)</f>
        <v>7379</v>
      </c>
      <c r="AG15" s="58" t="n">
        <v>1508</v>
      </c>
      <c r="AH15" s="58" t="n">
        <v>1227</v>
      </c>
      <c r="AI15" s="59" t="n">
        <f aca="false">AG15+AH15</f>
        <v>2735</v>
      </c>
      <c r="AJ15" s="58" t="n">
        <v>233</v>
      </c>
      <c r="AK15" s="58" t="n">
        <v>1275</v>
      </c>
      <c r="AL15" s="58" t="n">
        <v>919</v>
      </c>
      <c r="AM15" s="58" t="n">
        <v>907</v>
      </c>
      <c r="AN15" s="58" t="n">
        <v>40825</v>
      </c>
      <c r="AO15" s="58" t="n">
        <v>16795</v>
      </c>
      <c r="AP15" s="58" t="n">
        <v>24030</v>
      </c>
      <c r="AQ15" s="58" t="n">
        <v>23789</v>
      </c>
      <c r="AR15" s="58" t="n">
        <v>3106</v>
      </c>
      <c r="AS15" s="58" t="n">
        <v>15097</v>
      </c>
      <c r="AT15" s="58" t="n">
        <v>10386</v>
      </c>
      <c r="AU15" s="58" t="n">
        <v>2703</v>
      </c>
      <c r="AV15" s="58" t="n">
        <v>2145</v>
      </c>
      <c r="AW15" s="58" t="n">
        <v>597</v>
      </c>
      <c r="AX15" s="58"/>
      <c r="AY15" s="60" t="s">
        <v>284</v>
      </c>
      <c r="AZ15" s="60" t="s">
        <v>285</v>
      </c>
    </row>
    <row r="16" customFormat="false" ht="15" hidden="false" customHeight="false" outlineLevel="0" collapsed="false">
      <c r="A16" s="42" t="s">
        <v>286</v>
      </c>
      <c r="B16" s="42" t="s">
        <v>107</v>
      </c>
      <c r="C16" s="42" t="s">
        <v>151</v>
      </c>
      <c r="D16" s="42" t="s">
        <v>287</v>
      </c>
      <c r="E16" s="42" t="s">
        <v>150</v>
      </c>
      <c r="F16" s="42" t="s">
        <v>101</v>
      </c>
      <c r="G16" s="42" t="s">
        <v>288</v>
      </c>
      <c r="H16" s="61" t="n">
        <f aca="false">VLOOKUP(F16,FX!$A$5:$B$8,2,FALSE())</f>
        <v>1</v>
      </c>
      <c r="I16" s="58" t="n">
        <v>3467.4</v>
      </c>
      <c r="J16" s="58" t="n">
        <v>2184.4</v>
      </c>
      <c r="K16" s="59" t="n">
        <f aca="false">IF(J16="","",I16-J16)</f>
        <v>1283</v>
      </c>
      <c r="L16" s="58" t="n">
        <v>-1628.3</v>
      </c>
      <c r="M16" s="58" t="n">
        <v>173.6</v>
      </c>
      <c r="N16" s="59" t="n">
        <f aca="false">L16+M16</f>
        <v>-1454.7</v>
      </c>
      <c r="O16" s="58" t="n">
        <v>239.6</v>
      </c>
      <c r="P16" s="58" t="n">
        <v>-1886.6</v>
      </c>
      <c r="Q16" s="58" t="n">
        <v>-2237.4</v>
      </c>
      <c r="R16" s="58" t="n">
        <v>-2238.9</v>
      </c>
      <c r="S16" s="58" t="n">
        <v>9687.2</v>
      </c>
      <c r="T16" s="58" t="n">
        <v>7588.3</v>
      </c>
      <c r="U16" s="58" t="n">
        <v>2098.9</v>
      </c>
      <c r="V16" s="58" t="n">
        <v>2071.5</v>
      </c>
      <c r="W16" s="58" t="n">
        <v>584.5</v>
      </c>
      <c r="X16" s="58" t="n">
        <v>4959</v>
      </c>
      <c r="Y16" s="58" t="n">
        <v>3755.3</v>
      </c>
      <c r="Z16" s="58" t="n">
        <v>4074.9</v>
      </c>
      <c r="AA16" s="58" t="n">
        <v>-6.2</v>
      </c>
      <c r="AB16" s="58" t="n">
        <v>96.3</v>
      </c>
      <c r="AC16" s="58"/>
      <c r="AD16" s="58" t="n">
        <v>4246.1</v>
      </c>
      <c r="AE16" s="58" t="n">
        <v>2597.2</v>
      </c>
      <c r="AF16" s="59" t="n">
        <f aca="false">IF(AE16="","",AD16-AE16)</f>
        <v>1648.9</v>
      </c>
      <c r="AG16" s="58" t="n">
        <v>506.5</v>
      </c>
      <c r="AH16" s="58" t="n">
        <v>176.3</v>
      </c>
      <c r="AI16" s="59" t="n">
        <f aca="false">AG16+AH16</f>
        <v>682.8</v>
      </c>
      <c r="AJ16" s="58" t="n">
        <v>235.8</v>
      </c>
      <c r="AK16" s="58" t="n">
        <v>252.5</v>
      </c>
      <c r="AL16" s="58" t="n">
        <v>341.6</v>
      </c>
      <c r="AM16" s="58" t="n">
        <v>341.1</v>
      </c>
      <c r="AN16" s="58" t="n">
        <v>11653.3</v>
      </c>
      <c r="AO16" s="58" t="n">
        <v>7144.5</v>
      </c>
      <c r="AP16" s="58" t="n">
        <v>4508.8</v>
      </c>
      <c r="AQ16" s="58" t="n">
        <v>4487.5</v>
      </c>
      <c r="AR16" s="58" t="n">
        <v>357.3</v>
      </c>
      <c r="AS16" s="58" t="n">
        <v>4958.3</v>
      </c>
      <c r="AT16" s="58" t="n">
        <v>3019.2</v>
      </c>
      <c r="AU16" s="58" t="n">
        <v>3365.3</v>
      </c>
      <c r="AV16" s="58" t="n">
        <v>736.7</v>
      </c>
      <c r="AW16" s="58" t="n">
        <v>67.9</v>
      </c>
      <c r="AX16" s="58"/>
      <c r="AY16" s="60" t="s">
        <v>289</v>
      </c>
      <c r="AZ16" s="60" t="s">
        <v>285</v>
      </c>
    </row>
    <row r="17" customFormat="false" ht="15" hidden="false" customHeight="false" outlineLevel="0" collapsed="false">
      <c r="A17" s="42" t="s">
        <v>290</v>
      </c>
      <c r="B17" s="42" t="s">
        <v>108</v>
      </c>
      <c r="C17" s="42" t="s">
        <v>151</v>
      </c>
      <c r="D17" s="42" t="s">
        <v>291</v>
      </c>
      <c r="E17" s="42" t="s">
        <v>150</v>
      </c>
      <c r="F17" s="42" t="s">
        <v>83</v>
      </c>
      <c r="G17" s="42" t="s">
        <v>292</v>
      </c>
      <c r="H17" s="61" t="n">
        <f aca="false">VLOOKUP(F17,FX!$A$5:$B$8,2,FALSE())</f>
        <v>7.129</v>
      </c>
      <c r="I17" s="58" t="n">
        <v>5816.189</v>
      </c>
      <c r="J17" s="58" t="n">
        <v>4806.268</v>
      </c>
      <c r="K17" s="59" t="n">
        <f aca="false">IF(J17="","",I17-J17)</f>
        <v>1009.921</v>
      </c>
      <c r="L17" s="58" t="n">
        <v>678.371</v>
      </c>
      <c r="M17" s="58" t="n">
        <v>243.77</v>
      </c>
      <c r="N17" s="59" t="n">
        <f aca="false">L17+M17</f>
        <v>922.141</v>
      </c>
      <c r="O17" s="58" t="n">
        <v>24.495</v>
      </c>
      <c r="P17" s="58" t="n">
        <v>658.457</v>
      </c>
      <c r="Q17" s="58" t="n">
        <v>526.495</v>
      </c>
      <c r="R17" s="58" t="n">
        <v>532.601</v>
      </c>
      <c r="S17" s="58" t="n">
        <v>9730.068</v>
      </c>
      <c r="T17" s="58" t="n">
        <v>5411.933</v>
      </c>
      <c r="U17" s="58" t="n">
        <v>4318.134</v>
      </c>
      <c r="V17" s="58" t="n">
        <v>3998.898</v>
      </c>
      <c r="W17" s="58" t="n">
        <v>875.157</v>
      </c>
      <c r="X17" s="58" t="n">
        <v>3820.616</v>
      </c>
      <c r="Y17" s="58" t="n">
        <v>3752.342</v>
      </c>
      <c r="Z17" s="58" t="n">
        <v>2407.056</v>
      </c>
      <c r="AA17" s="58" t="n">
        <v>295.414</v>
      </c>
      <c r="AB17" s="58" t="n">
        <v>1274.461</v>
      </c>
      <c r="AC17" s="58" t="n">
        <v>24.713</v>
      </c>
      <c r="AD17" s="58" t="n">
        <v>5431.591</v>
      </c>
      <c r="AE17" s="58" t="n">
        <v>4644.655</v>
      </c>
      <c r="AF17" s="59" t="n">
        <f aca="false">IF(AE17="","",AD17-AE17)</f>
        <v>786.936000000001</v>
      </c>
      <c r="AG17" s="58" t="n">
        <v>306.985</v>
      </c>
      <c r="AH17" s="58" t="n">
        <v>433.369</v>
      </c>
      <c r="AI17" s="59" t="n">
        <f aca="false">AG17+AH17</f>
        <v>740.354</v>
      </c>
      <c r="AJ17" s="58" t="n">
        <v>22.054</v>
      </c>
      <c r="AK17" s="58" t="n">
        <v>315.73</v>
      </c>
      <c r="AL17" s="58" t="n">
        <v>227.784</v>
      </c>
      <c r="AM17" s="58" t="n">
        <v>224.399</v>
      </c>
      <c r="AN17" s="58" t="n">
        <v>8633.606</v>
      </c>
      <c r="AO17" s="58" t="n">
        <v>4698.794</v>
      </c>
      <c r="AP17" s="58" t="n">
        <v>3934.812</v>
      </c>
      <c r="AQ17" s="58" t="n">
        <v>3718.442</v>
      </c>
      <c r="AR17" s="58" t="n">
        <v>1132.445</v>
      </c>
      <c r="AS17" s="58" t="n">
        <v>4075.596</v>
      </c>
      <c r="AT17" s="58" t="n">
        <v>3407.786</v>
      </c>
      <c r="AU17" s="58" t="n">
        <v>1611.543</v>
      </c>
      <c r="AV17" s="58" t="n">
        <v>347.242</v>
      </c>
      <c r="AW17" s="58" t="n">
        <v>1255.458</v>
      </c>
      <c r="AX17" s="58" t="n">
        <v>18.878</v>
      </c>
      <c r="AY17" s="60"/>
      <c r="AZ17" s="60" t="s">
        <v>254</v>
      </c>
    </row>
    <row r="18" customFormat="false" ht="15" hidden="false" customHeight="false" outlineLevel="0" collapsed="false">
      <c r="A18" s="42" t="s">
        <v>293</v>
      </c>
      <c r="B18" s="42" t="s">
        <v>109</v>
      </c>
      <c r="C18" s="42" t="s">
        <v>151</v>
      </c>
      <c r="D18" s="42" t="s">
        <v>294</v>
      </c>
      <c r="E18" s="42" t="s">
        <v>150</v>
      </c>
      <c r="F18" s="42" t="s">
        <v>83</v>
      </c>
      <c r="G18" s="42" t="s">
        <v>295</v>
      </c>
      <c r="H18" s="61" t="n">
        <f aca="false">VLOOKUP(F18,FX!$A$5:$B$8,2,FALSE())</f>
        <v>7.129</v>
      </c>
      <c r="I18" s="58" t="n">
        <v>9007.754</v>
      </c>
      <c r="J18" s="58" t="n">
        <v>7303.94</v>
      </c>
      <c r="K18" s="59" t="n">
        <f aca="false">IF(J18="","",I18-J18)</f>
        <v>1703.814</v>
      </c>
      <c r="L18" s="58" t="n">
        <v>806.071</v>
      </c>
      <c r="M18" s="58" t="n">
        <v>992.018</v>
      </c>
      <c r="N18" s="59" t="n">
        <f aca="false">L18+M18</f>
        <v>1798.089</v>
      </c>
      <c r="O18" s="58" t="n">
        <v>83.798</v>
      </c>
      <c r="P18" s="58" t="n">
        <v>693.912</v>
      </c>
      <c r="Q18" s="58" t="n">
        <v>580.715</v>
      </c>
      <c r="R18" s="58" t="n">
        <v>478.767</v>
      </c>
      <c r="S18" s="58" t="n">
        <v>16123.592</v>
      </c>
      <c r="T18" s="58" t="n">
        <v>6869.251</v>
      </c>
      <c r="U18" s="58" t="n">
        <v>9254.341</v>
      </c>
      <c r="V18" s="58" t="n">
        <v>7888.607</v>
      </c>
      <c r="W18" s="58" t="n">
        <v>1002.776</v>
      </c>
      <c r="X18" s="58" t="n">
        <v>5481.799</v>
      </c>
      <c r="Y18" s="58" t="n">
        <v>4181.669</v>
      </c>
      <c r="Z18" s="58" t="n">
        <v>3398.159</v>
      </c>
      <c r="AA18" s="58" t="n">
        <v>1296.665</v>
      </c>
      <c r="AB18" s="58" t="n">
        <v>1083.205</v>
      </c>
      <c r="AC18" s="58" t="n">
        <v>53.669</v>
      </c>
      <c r="AD18" s="58" t="n">
        <v>7310.882</v>
      </c>
      <c r="AE18" s="58" t="n">
        <v>6136.417</v>
      </c>
      <c r="AF18" s="59" t="n">
        <f aca="false">IF(AE18="","",AD18-AE18)</f>
        <v>1174.465</v>
      </c>
      <c r="AG18" s="58" t="n">
        <v>382.493</v>
      </c>
      <c r="AH18" s="58" t="n">
        <v>821.882</v>
      </c>
      <c r="AI18" s="59" t="n">
        <f aca="false">AG18+AH18</f>
        <v>1204.375</v>
      </c>
      <c r="AJ18" s="58" t="n">
        <v>82.218</v>
      </c>
      <c r="AK18" s="58" t="n">
        <v>342.517</v>
      </c>
      <c r="AL18" s="58" t="n">
        <v>298.427</v>
      </c>
      <c r="AM18" s="58" t="n">
        <v>215.337</v>
      </c>
      <c r="AN18" s="58" t="n">
        <v>15648.478</v>
      </c>
      <c r="AO18" s="58" t="n">
        <v>6637.86</v>
      </c>
      <c r="AP18" s="58" t="n">
        <v>9010.617</v>
      </c>
      <c r="AQ18" s="58" t="n">
        <v>7726.588</v>
      </c>
      <c r="AR18" s="58" t="n">
        <v>1450.354</v>
      </c>
      <c r="AS18" s="58" t="n">
        <v>5673.23</v>
      </c>
      <c r="AT18" s="58" t="n">
        <v>4050.465</v>
      </c>
      <c r="AU18" s="58" t="n">
        <v>3368.128</v>
      </c>
      <c r="AV18" s="58" t="n">
        <v>312.504</v>
      </c>
      <c r="AW18" s="58" t="n">
        <v>1182.876</v>
      </c>
      <c r="AX18" s="58" t="n">
        <v>48.628</v>
      </c>
      <c r="AY18" s="60"/>
      <c r="AZ18" s="60" t="s">
        <v>254</v>
      </c>
    </row>
    <row r="19" customFormat="false" ht="15" hidden="false" customHeight="false" outlineLevel="0" collapsed="false">
      <c r="A19" s="42" t="s">
        <v>296</v>
      </c>
      <c r="B19" s="42" t="s">
        <v>110</v>
      </c>
      <c r="C19" s="42" t="s">
        <v>151</v>
      </c>
      <c r="D19" s="42" t="s">
        <v>297</v>
      </c>
      <c r="E19" s="42" t="s">
        <v>150</v>
      </c>
      <c r="F19" s="42" t="s">
        <v>101</v>
      </c>
      <c r="G19" s="42" t="s">
        <v>298</v>
      </c>
      <c r="H19" s="61" t="n">
        <f aca="false">VLOOKUP(F19,FX!$A$5:$B$8,2,FALSE())</f>
        <v>1</v>
      </c>
      <c r="I19" s="58" t="n">
        <v>26885</v>
      </c>
      <c r="J19" s="58" t="n">
        <v>18538</v>
      </c>
      <c r="K19" s="59" t="n">
        <f aca="false">IF(J19="","",I19-J19)</f>
        <v>8347</v>
      </c>
      <c r="L19" s="58" t="n">
        <v>3736</v>
      </c>
      <c r="M19" s="58" t="n">
        <v>2369</v>
      </c>
      <c r="N19" s="59" t="n">
        <f aca="false">L19+M19</f>
        <v>6105</v>
      </c>
      <c r="O19" s="58" t="n">
        <v>687</v>
      </c>
      <c r="P19" s="58" t="n">
        <v>3049</v>
      </c>
      <c r="Q19" s="58" t="n">
        <v>2297</v>
      </c>
      <c r="R19" s="58" t="n">
        <v>2267</v>
      </c>
      <c r="S19" s="58" t="n">
        <v>52301</v>
      </c>
      <c r="T19" s="58" t="n">
        <v>26936</v>
      </c>
      <c r="U19" s="58" t="n">
        <v>25365</v>
      </c>
      <c r="V19" s="58" t="n">
        <v>25323</v>
      </c>
      <c r="W19" s="58" t="n">
        <v>701</v>
      </c>
      <c r="X19" s="58" t="n">
        <v>14749</v>
      </c>
      <c r="Y19" s="58" t="n">
        <v>11041</v>
      </c>
      <c r="Z19" s="58" t="n">
        <v>12019</v>
      </c>
      <c r="AA19" s="58" t="n">
        <v>4007</v>
      </c>
      <c r="AB19" s="58" t="n">
        <v>2005</v>
      </c>
      <c r="AC19" s="58"/>
      <c r="AD19" s="58" t="n">
        <v>25972</v>
      </c>
      <c r="AE19" s="58" t="n">
        <v>18442</v>
      </c>
      <c r="AF19" s="59" t="n">
        <f aca="false">IF(AE19="","",AD19-AE19)</f>
        <v>7530</v>
      </c>
      <c r="AG19" s="58" t="n">
        <v>1856</v>
      </c>
      <c r="AH19" s="58" t="n">
        <v>2339</v>
      </c>
      <c r="AI19" s="59" t="n">
        <f aca="false">AG19+AH19</f>
        <v>4195</v>
      </c>
      <c r="AJ19" s="58" t="n">
        <v>720</v>
      </c>
      <c r="AK19" s="58" t="n">
        <v>1136</v>
      </c>
      <c r="AL19" s="58" t="n">
        <v>700</v>
      </c>
      <c r="AM19" s="58" t="n">
        <v>674</v>
      </c>
      <c r="AN19" s="58" t="n">
        <v>51840</v>
      </c>
      <c r="AO19" s="58" t="n">
        <v>27398</v>
      </c>
      <c r="AP19" s="58" t="n">
        <v>24442</v>
      </c>
      <c r="AQ19" s="58" t="n">
        <v>24407</v>
      </c>
      <c r="AR19" s="58" t="n">
        <v>853</v>
      </c>
      <c r="AS19" s="58" t="n">
        <v>13792</v>
      </c>
      <c r="AT19" s="58" t="n">
        <v>12045</v>
      </c>
      <c r="AU19" s="58" t="n">
        <v>12807</v>
      </c>
      <c r="AV19" s="58" t="n">
        <v>3535</v>
      </c>
      <c r="AW19" s="58" t="n">
        <v>2154</v>
      </c>
      <c r="AX19" s="58"/>
      <c r="AY19" s="60"/>
      <c r="AZ19" s="60" t="s">
        <v>299</v>
      </c>
    </row>
    <row r="20" customFormat="false" ht="15" hidden="false" customHeight="false" outlineLevel="0" collapsed="false">
      <c r="A20" s="42" t="s">
        <v>300</v>
      </c>
      <c r="B20" s="42" t="s">
        <v>112</v>
      </c>
      <c r="C20" s="42" t="s">
        <v>151</v>
      </c>
      <c r="D20" s="42" t="s">
        <v>301</v>
      </c>
      <c r="E20" s="42" t="s">
        <v>150</v>
      </c>
      <c r="F20" s="42" t="s">
        <v>101</v>
      </c>
      <c r="G20" s="42" t="s">
        <v>302</v>
      </c>
      <c r="H20" s="61" t="n">
        <f aca="false">VLOOKUP(F20,FX!$A$5:$B$8,2,FALSE())</f>
        <v>1</v>
      </c>
      <c r="I20" s="58" t="n">
        <v>12052.4</v>
      </c>
      <c r="J20" s="58" t="n">
        <v>10150.5</v>
      </c>
      <c r="K20" s="59" t="n">
        <f aca="false">IF(J20="","",I20-J20)</f>
        <v>1901.9</v>
      </c>
      <c r="L20" s="58" t="n">
        <v>821.5</v>
      </c>
      <c r="M20" s="58" t="n">
        <v>1049.9</v>
      </c>
      <c r="N20" s="59" t="n">
        <f aca="false">L20+M20</f>
        <v>1871.4</v>
      </c>
      <c r="O20" s="58" t="n">
        <v>241.5</v>
      </c>
      <c r="P20" s="58" t="n">
        <v>1212.9</v>
      </c>
      <c r="Q20" s="58" t="n">
        <v>575.4</v>
      </c>
      <c r="R20" s="58" t="n">
        <v>540.7</v>
      </c>
      <c r="S20" s="58" t="n">
        <v>24480.1</v>
      </c>
      <c r="T20" s="58" t="n">
        <v>12245.9</v>
      </c>
      <c r="U20" s="58" t="n">
        <v>12234.2</v>
      </c>
      <c r="V20" s="58" t="n">
        <v>12084.9</v>
      </c>
      <c r="W20" s="58" t="n">
        <v>276.6</v>
      </c>
      <c r="X20" s="58" t="n">
        <v>5237.5</v>
      </c>
      <c r="Y20" s="58" t="n">
        <v>3982.8</v>
      </c>
      <c r="Z20" s="58" t="n">
        <v>5053.9</v>
      </c>
      <c r="AA20" s="58" t="n">
        <v>824.8</v>
      </c>
      <c r="AB20" s="58" t="n">
        <v>1359.4</v>
      </c>
      <c r="AC20" s="58"/>
      <c r="AD20" s="58" t="n">
        <v>11122.8</v>
      </c>
      <c r="AE20" s="58" t="n">
        <v>9610.9</v>
      </c>
      <c r="AF20" s="59" t="n">
        <f aca="false">IF(AE20="","",AD20-AE20)</f>
        <v>1511.9</v>
      </c>
      <c r="AG20" s="58" t="n">
        <v>621.5</v>
      </c>
      <c r="AH20" s="58" t="n">
        <v>1025.5</v>
      </c>
      <c r="AI20" s="59" t="n">
        <f aca="false">AG20+AH20</f>
        <v>1647</v>
      </c>
      <c r="AJ20" s="58" t="n">
        <v>230</v>
      </c>
      <c r="AK20" s="58" t="n">
        <v>315.4</v>
      </c>
      <c r="AL20" s="58" t="n">
        <v>202</v>
      </c>
      <c r="AM20" s="58" t="n">
        <v>174.9</v>
      </c>
      <c r="AN20" s="58" t="n">
        <v>22924</v>
      </c>
      <c r="AO20" s="58" t="n">
        <v>11309.3</v>
      </c>
      <c r="AP20" s="58" t="n">
        <v>11614.7</v>
      </c>
      <c r="AQ20" s="58" t="n">
        <v>11482.4</v>
      </c>
      <c r="AR20" s="58" t="n">
        <v>272.8</v>
      </c>
      <c r="AS20" s="58" t="n">
        <v>4498.3</v>
      </c>
      <c r="AT20" s="58" t="n">
        <v>4171.3</v>
      </c>
      <c r="AU20" s="58" t="n">
        <v>4224.7</v>
      </c>
      <c r="AV20" s="58" t="n">
        <v>1299.2</v>
      </c>
      <c r="AW20" s="58" t="n">
        <v>1251.8</v>
      </c>
      <c r="AX20" s="58"/>
      <c r="AY20" s="60"/>
      <c r="AZ20" s="60" t="s">
        <v>285</v>
      </c>
    </row>
    <row r="21" customFormat="false" ht="15" hidden="false" customHeight="false" outlineLevel="0" collapsed="false">
      <c r="A21" s="42" t="s">
        <v>303</v>
      </c>
      <c r="B21" s="42" t="s">
        <v>113</v>
      </c>
      <c r="C21" s="42" t="s">
        <v>151</v>
      </c>
      <c r="D21" s="42" t="s">
        <v>304</v>
      </c>
      <c r="E21" s="42" t="s">
        <v>150</v>
      </c>
      <c r="F21" s="42" t="s">
        <v>83</v>
      </c>
      <c r="G21" s="42" t="s">
        <v>305</v>
      </c>
      <c r="H21" s="61" t="n">
        <f aca="false">VLOOKUP(F21,FX!$A$5:$B$8,2,FALSE())</f>
        <v>7.129</v>
      </c>
      <c r="I21" s="58" t="n">
        <v>48414.924</v>
      </c>
      <c r="J21" s="58" t="n">
        <v>38628.441</v>
      </c>
      <c r="K21" s="59" t="n">
        <f aca="false">IF(J21="","",I21-J21)</f>
        <v>9786.483</v>
      </c>
      <c r="L21" s="58" t="n">
        <v>6881.617</v>
      </c>
      <c r="M21" s="58" t="n">
        <v>3240.787</v>
      </c>
      <c r="N21" s="59" t="n">
        <f aca="false">L21+M21</f>
        <v>10122.404</v>
      </c>
      <c r="O21" s="58" t="n">
        <v>370.744</v>
      </c>
      <c r="P21" s="58" t="n">
        <v>6495.196</v>
      </c>
      <c r="Q21" s="58" t="n">
        <v>5497.711</v>
      </c>
      <c r="R21" s="58" t="n">
        <v>5156.044</v>
      </c>
      <c r="S21" s="58" t="n">
        <v>50342.468</v>
      </c>
      <c r="T21" s="58" t="n">
        <v>23747.493</v>
      </c>
      <c r="U21" s="58" t="n">
        <v>26594.975</v>
      </c>
      <c r="V21" s="58" t="n">
        <v>24581.339</v>
      </c>
      <c r="W21" s="58" t="n">
        <v>4981.412</v>
      </c>
      <c r="X21" s="58" t="n">
        <v>14815.317</v>
      </c>
      <c r="Y21" s="58" t="n">
        <v>17435.466</v>
      </c>
      <c r="Z21" s="58" t="n">
        <v>11462.005</v>
      </c>
      <c r="AA21" s="58" t="n">
        <v>9087.217</v>
      </c>
      <c r="AB21" s="58" t="n">
        <v>2283.814</v>
      </c>
      <c r="AC21" s="58" t="n">
        <v>1171.457</v>
      </c>
      <c r="AD21" s="58" t="n">
        <v>61654.339</v>
      </c>
      <c r="AE21" s="58" t="n">
        <v>50867.585</v>
      </c>
      <c r="AF21" s="59" t="n">
        <f aca="false">IF(AE21="","",AD21-AE21)</f>
        <v>10786.754</v>
      </c>
      <c r="AG21" s="58" t="n">
        <v>7634.078</v>
      </c>
      <c r="AH21" s="58" t="n">
        <v>3036.745</v>
      </c>
      <c r="AI21" s="59" t="n">
        <f aca="false">AG21+AH21</f>
        <v>10670.823</v>
      </c>
      <c r="AJ21" s="58" t="n">
        <v>567.441</v>
      </c>
      <c r="AK21" s="58" t="n">
        <v>7057.34</v>
      </c>
      <c r="AL21" s="58" t="n">
        <v>6049.867</v>
      </c>
      <c r="AM21" s="58" t="n">
        <v>5337.308</v>
      </c>
      <c r="AN21" s="58" t="n">
        <v>51527.99</v>
      </c>
      <c r="AO21" s="58" t="n">
        <v>26915.384</v>
      </c>
      <c r="AP21" s="58" t="n">
        <v>24612.606</v>
      </c>
      <c r="AQ21" s="58" t="n">
        <v>22380.325</v>
      </c>
      <c r="AR21" s="58" t="n">
        <v>6947.463</v>
      </c>
      <c r="AS21" s="58" t="n">
        <v>16703.714</v>
      </c>
      <c r="AT21" s="58" t="n">
        <v>15697.054</v>
      </c>
      <c r="AU21" s="58" t="n">
        <v>15842.614</v>
      </c>
      <c r="AV21" s="58" t="n">
        <v>10746.804</v>
      </c>
      <c r="AW21" s="58" t="n">
        <v>1759.181</v>
      </c>
      <c r="AX21" s="58" t="n">
        <v>957.777</v>
      </c>
      <c r="AY21" s="60"/>
      <c r="AZ21" s="60" t="s">
        <v>254</v>
      </c>
    </row>
    <row r="22" customFormat="false" ht="15" hidden="false" customHeight="false" outlineLevel="0" collapsed="false">
      <c r="A22" s="42" t="s">
        <v>306</v>
      </c>
      <c r="B22" s="42" t="s">
        <v>152</v>
      </c>
      <c r="C22" s="42" t="s">
        <v>151</v>
      </c>
      <c r="D22" s="42" t="s">
        <v>307</v>
      </c>
      <c r="E22" s="42" t="s">
        <v>150</v>
      </c>
      <c r="F22" s="42" t="s">
        <v>83</v>
      </c>
      <c r="G22" s="42" t="s">
        <v>308</v>
      </c>
      <c r="H22" s="61" t="n">
        <f aca="false">VLOOKUP(F22,FX!$A$5:$B$8,2,FALSE())</f>
        <v>7.129</v>
      </c>
      <c r="I22" s="58" t="n">
        <v>15501.244</v>
      </c>
      <c r="J22" s="58" t="n">
        <v>6532.978</v>
      </c>
      <c r="K22" s="59" t="n">
        <f aca="false">IF(J22="","",I22-J22)</f>
        <v>8968.266</v>
      </c>
      <c r="L22" s="58" t="n">
        <v>6980.396</v>
      </c>
      <c r="M22" s="58" t="n">
        <v>1022.623</v>
      </c>
      <c r="N22" s="59" t="n">
        <f aca="false">L22+M22</f>
        <v>8003.019</v>
      </c>
      <c r="O22" s="58" t="n">
        <v>20.083</v>
      </c>
      <c r="P22" s="58" t="n">
        <v>7192.442</v>
      </c>
      <c r="Q22" s="58" t="n">
        <v>8946.571</v>
      </c>
      <c r="R22" s="58" t="n">
        <v>8475.535</v>
      </c>
      <c r="S22" s="58" t="n">
        <v>61163.912</v>
      </c>
      <c r="T22" s="58" t="n">
        <v>10697.171</v>
      </c>
      <c r="U22" s="58" t="n">
        <v>50466.74</v>
      </c>
      <c r="V22" s="58" t="n">
        <v>46274.967</v>
      </c>
      <c r="W22" s="58" t="n">
        <v>24413.659</v>
      </c>
      <c r="X22" s="58" t="n">
        <v>39605.514</v>
      </c>
      <c r="Y22" s="58" t="n">
        <v>8151.12</v>
      </c>
      <c r="Z22" s="58" t="n">
        <v>1280.904</v>
      </c>
      <c r="AA22" s="58" t="n">
        <v>10160.861</v>
      </c>
      <c r="AB22" s="58" t="n">
        <v>1641.484</v>
      </c>
      <c r="AC22" s="58" t="n">
        <v>984.451</v>
      </c>
      <c r="AD22" s="58" t="n">
        <v>15134.12</v>
      </c>
      <c r="AE22" s="58" t="n">
        <v>7285.882</v>
      </c>
      <c r="AF22" s="59" t="n">
        <f aca="false">IF(AE22="","",AD22-AE22)</f>
        <v>7848.238</v>
      </c>
      <c r="AG22" s="58" t="n">
        <v>5758.816</v>
      </c>
      <c r="AH22" s="58" t="n">
        <v>833.237</v>
      </c>
      <c r="AI22" s="59" t="n">
        <f aca="false">AG22+AH22</f>
        <v>6592.053</v>
      </c>
      <c r="AJ22" s="58" t="n">
        <v>134.804</v>
      </c>
      <c r="AK22" s="58" t="n">
        <v>5757.273</v>
      </c>
      <c r="AL22" s="58" t="n">
        <v>4913.959</v>
      </c>
      <c r="AM22" s="58" t="n">
        <v>4663.117</v>
      </c>
      <c r="AN22" s="58" t="n">
        <v>45782.851</v>
      </c>
      <c r="AO22" s="58" t="n">
        <v>6188.817</v>
      </c>
      <c r="AP22" s="58" t="n">
        <v>39594.034</v>
      </c>
      <c r="AQ22" s="58" t="n">
        <v>36574.788</v>
      </c>
      <c r="AR22" s="58" t="n">
        <v>15623.633</v>
      </c>
      <c r="AS22" s="58" t="n">
        <v>27761.402</v>
      </c>
      <c r="AT22" s="58" t="n">
        <v>3787.298</v>
      </c>
      <c r="AU22" s="58" t="n">
        <v>516.063</v>
      </c>
      <c r="AV22" s="58" t="n">
        <v>7819.153</v>
      </c>
      <c r="AW22" s="58" t="n">
        <v>1221.806</v>
      </c>
      <c r="AX22" s="58" t="n">
        <v>1269.367</v>
      </c>
      <c r="AY22" s="60" t="s">
        <v>309</v>
      </c>
      <c r="AZ22" s="60" t="s">
        <v>254</v>
      </c>
    </row>
    <row r="23" customFormat="false" ht="41.75" hidden="false" customHeight="false" outlineLevel="0" collapsed="false">
      <c r="A23" s="51" t="s">
        <v>310</v>
      </c>
      <c r="B23" s="51" t="s">
        <v>54</v>
      </c>
      <c r="C23" s="51" t="s">
        <v>154</v>
      </c>
      <c r="D23" s="51" t="s">
        <v>311</v>
      </c>
      <c r="E23" s="51" t="s">
        <v>82</v>
      </c>
      <c r="F23" s="51" t="s">
        <v>121</v>
      </c>
      <c r="G23" s="51" t="s">
        <v>312</v>
      </c>
      <c r="H23" s="57" t="n">
        <f aca="false">VLOOKUP(F23,FX!$A$5:$B$8,2,FALSE())</f>
        <v>0.886</v>
      </c>
      <c r="I23" s="58" t="n">
        <v>6776.157</v>
      </c>
      <c r="J23" s="58"/>
      <c r="K23" s="59" t="str">
        <f aca="false">IF(J23="","",I23-J23)</f>
        <v/>
      </c>
      <c r="L23" s="58" t="n">
        <v>891.203</v>
      </c>
      <c r="M23" s="58" t="n">
        <v>573.6</v>
      </c>
      <c r="N23" s="59" t="n">
        <f aca="false">L23+M23</f>
        <v>1464.803</v>
      </c>
      <c r="O23" s="58" t="n">
        <v>290.605</v>
      </c>
      <c r="P23" s="58" t="n">
        <v>760.162</v>
      </c>
      <c r="Q23" s="58" t="n">
        <v>530.696</v>
      </c>
      <c r="R23" s="58" t="n">
        <v>497.527</v>
      </c>
      <c r="S23" s="58" t="n">
        <v>13353.183</v>
      </c>
      <c r="T23" s="58" t="n">
        <v>6896.446</v>
      </c>
      <c r="U23" s="58" t="n">
        <v>6456.737</v>
      </c>
      <c r="V23" s="58" t="n">
        <v>6277.848</v>
      </c>
      <c r="W23" s="58" t="n">
        <v>1525.886</v>
      </c>
      <c r="X23" s="58" t="n">
        <v>4134.659</v>
      </c>
      <c r="Y23" s="58" t="n">
        <v>2854.387</v>
      </c>
      <c r="Z23" s="58" t="n">
        <v>2957.794</v>
      </c>
      <c r="AA23" s="58" t="n">
        <v>1305.805</v>
      </c>
      <c r="AB23" s="58" t="n">
        <v>377.866</v>
      </c>
      <c r="AC23" s="58"/>
      <c r="AD23" s="58" t="n">
        <v>6773.324</v>
      </c>
      <c r="AE23" s="58"/>
      <c r="AF23" s="59" t="str">
        <f aca="false">IF(AE23="","",AD23-AE23)</f>
        <v/>
      </c>
      <c r="AG23" s="58" t="n">
        <v>902.99</v>
      </c>
      <c r="AH23" s="58" t="n">
        <v>572.7</v>
      </c>
      <c r="AI23" s="59" t="n">
        <f aca="false">AG23+AH23</f>
        <v>1475.69</v>
      </c>
      <c r="AJ23" s="58" t="n">
        <v>422.911</v>
      </c>
      <c r="AK23" s="58" t="n">
        <v>647.793</v>
      </c>
      <c r="AL23" s="58" t="n">
        <v>501.104</v>
      </c>
      <c r="AM23" s="58" t="n">
        <v>467.981</v>
      </c>
      <c r="AN23" s="58" t="n">
        <v>13680.622</v>
      </c>
      <c r="AO23" s="58" t="n">
        <v>7768.368</v>
      </c>
      <c r="AP23" s="58" t="n">
        <v>5912.254</v>
      </c>
      <c r="AQ23" s="58" t="n">
        <v>5756.071</v>
      </c>
      <c r="AR23" s="58" t="n">
        <v>1502.741</v>
      </c>
      <c r="AS23" s="58" t="n">
        <v>4262.65</v>
      </c>
      <c r="AT23" s="58" t="n">
        <v>3340.409</v>
      </c>
      <c r="AU23" s="58" t="n">
        <v>3829.455</v>
      </c>
      <c r="AV23" s="58" t="n">
        <v>1292.564</v>
      </c>
      <c r="AW23" s="58" t="n">
        <v>403.673</v>
      </c>
      <c r="AX23" s="58"/>
      <c r="AY23" s="60" t="s">
        <v>313</v>
      </c>
      <c r="AZ23" s="60" t="s">
        <v>314</v>
      </c>
    </row>
    <row r="24" customFormat="false" ht="15" hidden="false" customHeight="false" outlineLevel="0" collapsed="false">
      <c r="A24" s="51" t="s">
        <v>315</v>
      </c>
      <c r="B24" s="51" t="s">
        <v>153</v>
      </c>
      <c r="C24" s="51" t="s">
        <v>154</v>
      </c>
      <c r="D24" s="51" t="s">
        <v>316</v>
      </c>
      <c r="E24" s="51" t="s">
        <v>82</v>
      </c>
      <c r="F24" s="51" t="s">
        <v>83</v>
      </c>
      <c r="G24" s="51" t="s">
        <v>317</v>
      </c>
      <c r="H24" s="57" t="n">
        <f aca="false">VLOOKUP(F24,FX!$A$5:$B$8,2,FALSE())</f>
        <v>7.129</v>
      </c>
      <c r="I24" s="58" t="n">
        <v>7413.482</v>
      </c>
      <c r="J24" s="58" t="n">
        <v>6315.936</v>
      </c>
      <c r="K24" s="59" t="n">
        <f aca="false">IF(J24="","",I24-J24)</f>
        <v>1097.546</v>
      </c>
      <c r="L24" s="58" t="n">
        <v>289.908</v>
      </c>
      <c r="M24" s="58" t="n">
        <v>308.136</v>
      </c>
      <c r="N24" s="59" t="n">
        <f aca="false">L24+M24</f>
        <v>598.044</v>
      </c>
      <c r="O24" s="58" t="n">
        <v>29.481</v>
      </c>
      <c r="P24" s="58" t="n">
        <v>286.983</v>
      </c>
      <c r="Q24" s="58" t="n">
        <v>235.608</v>
      </c>
      <c r="R24" s="58" t="n">
        <v>235.608</v>
      </c>
      <c r="S24" s="58" t="n">
        <v>7968.86</v>
      </c>
      <c r="T24" s="58" t="n">
        <v>4449.733</v>
      </c>
      <c r="U24" s="58" t="n">
        <v>3519.127</v>
      </c>
      <c r="V24" s="58" t="n">
        <v>3519.127</v>
      </c>
      <c r="W24" s="58" t="n">
        <v>1078.531</v>
      </c>
      <c r="X24" s="58" t="n">
        <v>4168.755</v>
      </c>
      <c r="Y24" s="58" t="n">
        <v>3582.574</v>
      </c>
      <c r="Z24" s="58" t="n">
        <v>1318.976</v>
      </c>
      <c r="AA24" s="58" t="n">
        <v>495.9</v>
      </c>
      <c r="AB24" s="58" t="n">
        <v>406.881</v>
      </c>
      <c r="AC24" s="58" t="n">
        <v>73.476</v>
      </c>
      <c r="AD24" s="58" t="n">
        <v>6708.15</v>
      </c>
      <c r="AE24" s="58" t="n">
        <v>5563.258</v>
      </c>
      <c r="AF24" s="59" t="n">
        <f aca="false">IF(AE24="","",AD24-AE24)</f>
        <v>1144.892</v>
      </c>
      <c r="AG24" s="58" t="n">
        <v>331.218</v>
      </c>
      <c r="AH24" s="58" t="n">
        <v>294.163</v>
      </c>
      <c r="AI24" s="59" t="n">
        <f aca="false">AG24+AH24</f>
        <v>625.381</v>
      </c>
      <c r="AJ24" s="58" t="n">
        <v>30.127</v>
      </c>
      <c r="AK24" s="58" t="n">
        <v>335.629</v>
      </c>
      <c r="AL24" s="58" t="n">
        <v>280.943</v>
      </c>
      <c r="AM24" s="58" t="n">
        <v>280.943</v>
      </c>
      <c r="AN24" s="58" t="n">
        <v>7325.203</v>
      </c>
      <c r="AO24" s="58" t="n">
        <v>4041.136</v>
      </c>
      <c r="AP24" s="58" t="n">
        <v>3284.067</v>
      </c>
      <c r="AQ24" s="58" t="n">
        <v>3284.067</v>
      </c>
      <c r="AR24" s="58" t="n">
        <v>912.752</v>
      </c>
      <c r="AS24" s="58" t="n">
        <v>3821.47</v>
      </c>
      <c r="AT24" s="58" t="n">
        <v>3499.196</v>
      </c>
      <c r="AU24" s="58" t="n">
        <v>1224.263</v>
      </c>
      <c r="AV24" s="58" t="n">
        <v>200.88</v>
      </c>
      <c r="AW24" s="58" t="n">
        <v>154.644</v>
      </c>
      <c r="AX24" s="58" t="n">
        <v>48.635</v>
      </c>
      <c r="AY24" s="60" t="s">
        <v>318</v>
      </c>
      <c r="AZ24" s="60" t="s">
        <v>254</v>
      </c>
    </row>
    <row r="25" customFormat="false" ht="15" hidden="false" customHeight="false" outlineLevel="0" collapsed="false">
      <c r="A25" s="42" t="s">
        <v>319</v>
      </c>
      <c r="B25" s="42" t="s">
        <v>123</v>
      </c>
      <c r="C25" s="42" t="s">
        <v>154</v>
      </c>
      <c r="D25" s="42" t="s">
        <v>320</v>
      </c>
      <c r="E25" s="42" t="s">
        <v>150</v>
      </c>
      <c r="F25" s="42" t="s">
        <v>121</v>
      </c>
      <c r="G25" s="42" t="s">
        <v>321</v>
      </c>
      <c r="H25" s="61" t="n">
        <f aca="false">VLOOKUP(F25,FX!$A$5:$B$8,2,FALSE())</f>
        <v>0.886</v>
      </c>
      <c r="I25" s="58" t="n">
        <v>25992</v>
      </c>
      <c r="J25" s="58" t="n">
        <v>18973</v>
      </c>
      <c r="K25" s="59" t="n">
        <f aca="false">IF(J25="","",I25-J25)</f>
        <v>7019</v>
      </c>
      <c r="L25" s="58" t="n">
        <v>2366</v>
      </c>
      <c r="M25" s="58" t="n">
        <v>1943</v>
      </c>
      <c r="N25" s="59" t="n">
        <f aca="false">L25+M25</f>
        <v>4309</v>
      </c>
      <c r="O25" s="58" t="n">
        <v>260</v>
      </c>
      <c r="P25" s="58" t="n">
        <v>2258</v>
      </c>
      <c r="Q25" s="58" t="n">
        <v>1664</v>
      </c>
      <c r="R25" s="58" t="n">
        <v>1665</v>
      </c>
      <c r="S25" s="58" t="n">
        <v>35018</v>
      </c>
      <c r="T25" s="58" t="n">
        <v>16942</v>
      </c>
      <c r="U25" s="58" t="n">
        <v>18076</v>
      </c>
      <c r="V25" s="58" t="n">
        <v>18072</v>
      </c>
      <c r="W25" s="58" t="n">
        <v>3877</v>
      </c>
      <c r="X25" s="58" t="n">
        <v>14271</v>
      </c>
      <c r="Y25" s="58" t="n">
        <v>7503</v>
      </c>
      <c r="Z25" s="58" t="n">
        <v>6645</v>
      </c>
      <c r="AA25" s="58" t="n">
        <v>3819</v>
      </c>
      <c r="AB25" s="58" t="n">
        <v>2017</v>
      </c>
      <c r="AC25" s="58"/>
      <c r="AD25" s="58" t="n">
        <v>27193</v>
      </c>
      <c r="AE25" s="58" t="n">
        <v>19445</v>
      </c>
      <c r="AF25" s="59" t="n">
        <f aca="false">IF(AE25="","",AD25-AE25)</f>
        <v>7748</v>
      </c>
      <c r="AG25" s="58" t="n">
        <v>2631</v>
      </c>
      <c r="AH25" s="58" t="n">
        <v>1983</v>
      </c>
      <c r="AI25" s="59" t="n">
        <f aca="false">AG25+AH25</f>
        <v>4614</v>
      </c>
      <c r="AJ25" s="58" t="n">
        <v>218</v>
      </c>
      <c r="AK25" s="58" t="n">
        <v>2445</v>
      </c>
      <c r="AL25" s="58" t="n">
        <v>1890</v>
      </c>
      <c r="AM25" s="58" t="n">
        <v>1884</v>
      </c>
      <c r="AN25" s="58" t="n">
        <v>37352</v>
      </c>
      <c r="AO25" s="58" t="n">
        <v>18718</v>
      </c>
      <c r="AP25" s="58" t="n">
        <v>18634</v>
      </c>
      <c r="AQ25" s="58" t="n">
        <v>18625</v>
      </c>
      <c r="AR25" s="58" t="n">
        <v>3936</v>
      </c>
      <c r="AS25" s="58" t="n">
        <v>15339</v>
      </c>
      <c r="AT25" s="58" t="n">
        <v>8710</v>
      </c>
      <c r="AU25" s="58" t="n">
        <v>7439</v>
      </c>
      <c r="AV25" s="58" t="n">
        <v>4336</v>
      </c>
      <c r="AW25" s="58" t="n">
        <v>2250</v>
      </c>
      <c r="AX25" s="58"/>
      <c r="AY25" s="60"/>
      <c r="AZ25" s="60" t="s">
        <v>322</v>
      </c>
    </row>
    <row r="26" customFormat="false" ht="15" hidden="false" customHeight="false" outlineLevel="0" collapsed="false">
      <c r="A26" s="42" t="s">
        <v>323</v>
      </c>
      <c r="B26" s="42" t="s">
        <v>125</v>
      </c>
      <c r="C26" s="42" t="s">
        <v>154</v>
      </c>
      <c r="D26" s="42" t="s">
        <v>320</v>
      </c>
      <c r="E26" s="42" t="s">
        <v>150</v>
      </c>
      <c r="F26" s="42" t="s">
        <v>126</v>
      </c>
      <c r="G26" s="42" t="s">
        <v>324</v>
      </c>
      <c r="H26" s="61" t="n">
        <f aca="false">VLOOKUP(F26,FX!$A$5:$B$8,2,FALSE())</f>
        <v>149.632</v>
      </c>
      <c r="I26" s="58" t="n">
        <v>4429452</v>
      </c>
      <c r="J26" s="58" t="n">
        <v>2722789</v>
      </c>
      <c r="K26" s="59" t="n">
        <f aca="false">IF(J26="","",I26-J26)</f>
        <v>1706663</v>
      </c>
      <c r="L26" s="58" t="n">
        <v>381237</v>
      </c>
      <c r="M26" s="58" t="n">
        <v>353229</v>
      </c>
      <c r="N26" s="59" t="n">
        <f aca="false">L26+M26</f>
        <v>734466</v>
      </c>
      <c r="O26" s="58" t="n">
        <v>44019</v>
      </c>
      <c r="P26" s="58" t="n">
        <v>354661</v>
      </c>
      <c r="Q26" s="58" t="n">
        <v>334299</v>
      </c>
      <c r="R26" s="58" t="n">
        <v>327264</v>
      </c>
      <c r="S26" s="58" t="n">
        <v>5747705</v>
      </c>
      <c r="T26" s="58" t="n">
        <v>2027817</v>
      </c>
      <c r="U26" s="58" t="n">
        <v>3719888</v>
      </c>
      <c r="V26" s="58" t="n">
        <v>3661793</v>
      </c>
      <c r="W26" s="58" t="n">
        <v>713810</v>
      </c>
      <c r="X26" s="58" t="n">
        <v>2863182</v>
      </c>
      <c r="Y26" s="58" t="n">
        <v>1122654</v>
      </c>
      <c r="Z26" s="58" t="n">
        <v>827015</v>
      </c>
      <c r="AA26" s="58" t="n">
        <v>660442</v>
      </c>
      <c r="AB26" s="58" t="n">
        <v>287155</v>
      </c>
      <c r="AC26" s="58"/>
      <c r="AD26" s="58" t="n">
        <v>4430096</v>
      </c>
      <c r="AE26" s="58" t="n">
        <v>2704093</v>
      </c>
      <c r="AF26" s="59" t="n">
        <f aca="false">IF(AE26="","",AD26-AE26)</f>
        <v>1726003</v>
      </c>
      <c r="AG26" s="58" t="n">
        <v>443319</v>
      </c>
      <c r="AH26" s="58" t="n">
        <v>348058</v>
      </c>
      <c r="AI26" s="59" t="n">
        <f aca="false">AG26+AH26</f>
        <v>791377</v>
      </c>
      <c r="AJ26" s="58" t="n">
        <v>49802</v>
      </c>
      <c r="AK26" s="58" t="n">
        <v>421437</v>
      </c>
      <c r="AL26" s="58" t="n">
        <v>292181</v>
      </c>
      <c r="AM26" s="58" t="n">
        <v>284989</v>
      </c>
      <c r="AN26" s="58" t="n">
        <v>5723517</v>
      </c>
      <c r="AO26" s="58" t="n">
        <v>1937029</v>
      </c>
      <c r="AP26" s="58" t="n">
        <v>3786488</v>
      </c>
      <c r="AQ26" s="58" t="n">
        <v>3731606</v>
      </c>
      <c r="AR26" s="58" t="n">
        <v>706732</v>
      </c>
      <c r="AS26" s="58" t="n">
        <v>2863632</v>
      </c>
      <c r="AT26" s="58" t="n">
        <v>1176243</v>
      </c>
      <c r="AU26" s="58" t="n">
        <v>727721</v>
      </c>
      <c r="AV26" s="58" t="n">
        <v>548844</v>
      </c>
      <c r="AW26" s="58" t="n">
        <v>337293</v>
      </c>
      <c r="AX26" s="58"/>
      <c r="AY26" s="60"/>
      <c r="AZ26" s="60" t="s">
        <v>325</v>
      </c>
    </row>
    <row r="27" customFormat="false" ht="15" hidden="false" customHeight="false" outlineLevel="0" collapsed="false">
      <c r="A27" s="42" t="s">
        <v>326</v>
      </c>
      <c r="B27" s="42" t="s">
        <v>127</v>
      </c>
      <c r="C27" s="42" t="s">
        <v>154</v>
      </c>
      <c r="D27" s="42" t="s">
        <v>320</v>
      </c>
      <c r="E27" s="42" t="s">
        <v>150</v>
      </c>
      <c r="F27" s="42" t="s">
        <v>101</v>
      </c>
      <c r="G27" s="42" t="s">
        <v>327</v>
      </c>
      <c r="H27" s="61" t="n">
        <f aca="false">VLOOKUP(F27,FX!$A$5:$B$8,2,FALSE())</f>
        <v>1</v>
      </c>
      <c r="I27" s="58" t="n">
        <v>18280</v>
      </c>
      <c r="J27" s="58" t="n">
        <v>14909</v>
      </c>
      <c r="K27" s="59" t="n">
        <f aca="false">IF(J27="","",I27-J27)</f>
        <v>3371</v>
      </c>
      <c r="L27" s="58" t="n">
        <v>-216</v>
      </c>
      <c r="M27" s="58" t="n">
        <v>1045</v>
      </c>
      <c r="N27" s="59" t="n">
        <f aca="false">L27+M27</f>
        <v>829</v>
      </c>
      <c r="O27" s="58" t="n">
        <v>445</v>
      </c>
      <c r="P27" s="58" t="n">
        <v>-133</v>
      </c>
      <c r="Q27" s="58" t="n">
        <v>-1700</v>
      </c>
      <c r="R27" s="58" t="n">
        <v>-1721</v>
      </c>
      <c r="S27" s="58" t="n">
        <v>18208</v>
      </c>
      <c r="T27" s="58" t="n">
        <v>14805</v>
      </c>
      <c r="U27" s="58" t="n">
        <v>3403</v>
      </c>
      <c r="V27" s="58" t="n">
        <v>3233</v>
      </c>
      <c r="W27" s="58" t="n">
        <v>801</v>
      </c>
      <c r="X27" s="58" t="n">
        <v>7218</v>
      </c>
      <c r="Y27" s="58" t="n">
        <v>6782</v>
      </c>
      <c r="Z27" s="58" t="n">
        <v>6198</v>
      </c>
      <c r="AA27" s="58" t="n">
        <v>796</v>
      </c>
      <c r="AB27" s="58" t="n">
        <v>826</v>
      </c>
      <c r="AC27" s="58"/>
      <c r="AD27" s="58" t="n">
        <v>18878</v>
      </c>
      <c r="AE27" s="58" t="n">
        <v>15192</v>
      </c>
      <c r="AF27" s="59" t="n">
        <f aca="false">IF(AE27="","",AD27-AE27)</f>
        <v>3686</v>
      </c>
      <c r="AG27" s="58" t="n">
        <v>693</v>
      </c>
      <c r="AH27" s="58" t="n">
        <v>1049</v>
      </c>
      <c r="AI27" s="59" t="n">
        <f aca="false">AG27+AH27</f>
        <v>1742</v>
      </c>
      <c r="AJ27" s="58" t="n">
        <v>522</v>
      </c>
      <c r="AK27" s="58" t="n">
        <v>130</v>
      </c>
      <c r="AL27" s="58" t="n">
        <v>35</v>
      </c>
      <c r="AM27" s="58" t="n">
        <v>46</v>
      </c>
      <c r="AN27" s="58" t="n">
        <v>20921</v>
      </c>
      <c r="AO27" s="58" t="n">
        <v>16098</v>
      </c>
      <c r="AP27" s="58" t="n">
        <v>4823</v>
      </c>
      <c r="AQ27" s="58" t="n">
        <v>4681</v>
      </c>
      <c r="AR27" s="58" t="n">
        <v>810</v>
      </c>
      <c r="AS27" s="58" t="n">
        <v>7589</v>
      </c>
      <c r="AT27" s="58" t="n">
        <v>7377</v>
      </c>
      <c r="AU27" s="58" t="n">
        <v>7782</v>
      </c>
      <c r="AV27" s="58" t="n">
        <v>698</v>
      </c>
      <c r="AW27" s="58" t="n">
        <v>1188</v>
      </c>
      <c r="AX27" s="58"/>
      <c r="AY27" s="60" t="s">
        <v>328</v>
      </c>
      <c r="AZ27" s="60" t="s">
        <v>285</v>
      </c>
    </row>
    <row r="28" customFormat="false" ht="15" hidden="false" customHeight="false" outlineLevel="0" collapsed="false">
      <c r="A28" s="42" t="s">
        <v>329</v>
      </c>
      <c r="B28" s="42" t="s">
        <v>128</v>
      </c>
      <c r="C28" s="42" t="s">
        <v>154</v>
      </c>
      <c r="D28" s="42" t="s">
        <v>129</v>
      </c>
      <c r="E28" s="42" t="s">
        <v>150</v>
      </c>
      <c r="F28" s="42" t="s">
        <v>83</v>
      </c>
      <c r="G28" s="42" t="s">
        <v>330</v>
      </c>
      <c r="H28" s="61" t="n">
        <f aca="false">VLOOKUP(F28,FX!$A$5:$B$8,2,FALSE())</f>
        <v>7.129</v>
      </c>
      <c r="I28" s="58" t="n">
        <v>24642.158</v>
      </c>
      <c r="J28" s="58" t="n">
        <v>20445.464</v>
      </c>
      <c r="K28" s="59" t="n">
        <f aca="false">IF(J28="","",I28-J28)</f>
        <v>4196.694</v>
      </c>
      <c r="L28" s="58" t="n">
        <v>1213.03</v>
      </c>
      <c r="M28" s="58" t="n">
        <v>1875.387</v>
      </c>
      <c r="N28" s="59" t="n">
        <f aca="false">L28+M28</f>
        <v>3088.417</v>
      </c>
      <c r="O28" s="58" t="n">
        <v>290.896</v>
      </c>
      <c r="P28" s="58" t="n">
        <v>1542.485</v>
      </c>
      <c r="Q28" s="58" t="n">
        <v>1368.753</v>
      </c>
      <c r="R28" s="58" t="n">
        <v>1368.871</v>
      </c>
      <c r="S28" s="58" t="n">
        <v>47375.105</v>
      </c>
      <c r="T28" s="58" t="n">
        <v>24266.753</v>
      </c>
      <c r="U28" s="58" t="n">
        <v>23108.352</v>
      </c>
      <c r="V28" s="58" t="n">
        <v>23099.98</v>
      </c>
      <c r="W28" s="58" t="n">
        <v>3332.294</v>
      </c>
      <c r="X28" s="58" t="n">
        <v>15703.779</v>
      </c>
      <c r="Y28" s="58" t="n">
        <v>17648.117</v>
      </c>
      <c r="Z28" s="58" t="n">
        <v>14173.647</v>
      </c>
      <c r="AA28" s="58" t="n">
        <v>1988.798</v>
      </c>
      <c r="AB28" s="58" t="n">
        <v>1765.059</v>
      </c>
      <c r="AC28" s="58" t="n">
        <v>166.994</v>
      </c>
      <c r="AD28" s="58" t="n">
        <v>22057.939</v>
      </c>
      <c r="AE28" s="58" t="n">
        <v>17191.783</v>
      </c>
      <c r="AF28" s="59" t="n">
        <f aca="false">IF(AE28="","",AD28-AE28)</f>
        <v>4866.156</v>
      </c>
      <c r="AG28" s="58" t="n">
        <v>2300.858</v>
      </c>
      <c r="AH28" s="58" t="n">
        <v>1619.892</v>
      </c>
      <c r="AI28" s="59" t="n">
        <f aca="false">AG28+AH28</f>
        <v>3920.75</v>
      </c>
      <c r="AJ28" s="58" t="n">
        <v>290.937</v>
      </c>
      <c r="AK28" s="58" t="n">
        <v>1970.606</v>
      </c>
      <c r="AL28" s="58" t="n">
        <v>1752.035</v>
      </c>
      <c r="AM28" s="58" t="n">
        <v>1752.352</v>
      </c>
      <c r="AN28" s="58" t="n">
        <v>47083.204</v>
      </c>
      <c r="AO28" s="58" t="n">
        <v>25397.323</v>
      </c>
      <c r="AP28" s="58" t="n">
        <v>21685.88</v>
      </c>
      <c r="AQ28" s="58" t="n">
        <v>21680.373</v>
      </c>
      <c r="AR28" s="58" t="n">
        <v>3626.469</v>
      </c>
      <c r="AS28" s="58" t="n">
        <v>15890.304</v>
      </c>
      <c r="AT28" s="58" t="n">
        <v>19914.082</v>
      </c>
      <c r="AU28" s="58" t="n">
        <v>15000.148</v>
      </c>
      <c r="AV28" s="58" t="n">
        <v>1937.092</v>
      </c>
      <c r="AW28" s="58" t="n">
        <v>2442.512</v>
      </c>
      <c r="AX28" s="58" t="n">
        <v>140.61</v>
      </c>
      <c r="AY28" s="60"/>
      <c r="AZ28" s="60" t="s">
        <v>254</v>
      </c>
    </row>
    <row r="29" customFormat="false" ht="15" hidden="false" customHeight="false" outlineLevel="0" collapsed="false">
      <c r="A29" s="42" t="s">
        <v>331</v>
      </c>
      <c r="B29" s="42" t="s">
        <v>130</v>
      </c>
      <c r="C29" s="42" t="s">
        <v>154</v>
      </c>
      <c r="D29" s="42" t="s">
        <v>129</v>
      </c>
      <c r="E29" s="42" t="s">
        <v>150</v>
      </c>
      <c r="F29" s="42" t="s">
        <v>83</v>
      </c>
      <c r="G29" s="42" t="s">
        <v>332</v>
      </c>
      <c r="H29" s="61" t="n">
        <f aca="false">VLOOKUP(F29,FX!$A$5:$B$8,2,FALSE())</f>
        <v>7.129</v>
      </c>
      <c r="I29" s="58" t="n">
        <v>36792.434</v>
      </c>
      <c r="J29" s="58" t="n">
        <v>27711.171</v>
      </c>
      <c r="K29" s="59" t="n">
        <f aca="false">IF(J29="","",I29-J29)</f>
        <v>9081.263</v>
      </c>
      <c r="L29" s="58" t="n">
        <v>4591.048</v>
      </c>
      <c r="M29" s="58" t="n">
        <v>2072.636</v>
      </c>
      <c r="N29" s="59" t="n">
        <f aca="false">L29+M29</f>
        <v>6663.684</v>
      </c>
      <c r="O29" s="58" t="n">
        <v>474.614</v>
      </c>
      <c r="P29" s="58" t="n">
        <v>4175.993</v>
      </c>
      <c r="Q29" s="58" t="n">
        <v>3616.804</v>
      </c>
      <c r="R29" s="58" t="n">
        <v>3522.493</v>
      </c>
      <c r="S29" s="58" t="n">
        <v>46770.401</v>
      </c>
      <c r="T29" s="58" t="n">
        <v>23413.271</v>
      </c>
      <c r="U29" s="58" t="n">
        <v>23357.13</v>
      </c>
      <c r="V29" s="58" t="n">
        <v>21614.62</v>
      </c>
      <c r="W29" s="58" t="n">
        <v>4579.35</v>
      </c>
      <c r="X29" s="58" t="n">
        <v>20701.283</v>
      </c>
      <c r="Y29" s="58" t="n">
        <v>18364.718</v>
      </c>
      <c r="Z29" s="58" t="n">
        <v>12054.171</v>
      </c>
      <c r="AA29" s="58" t="n">
        <v>4178.798</v>
      </c>
      <c r="AB29" s="58" t="n">
        <v>4817.731</v>
      </c>
      <c r="AC29" s="58" t="n">
        <v>118.174</v>
      </c>
      <c r="AD29" s="58" t="n">
        <v>31802.388</v>
      </c>
      <c r="AE29" s="58" t="n">
        <v>23030.342</v>
      </c>
      <c r="AF29" s="59" t="n">
        <f aca="false">IF(AE29="","",AD29-AE29)</f>
        <v>8772.046</v>
      </c>
      <c r="AG29" s="58" t="n">
        <v>5057.087</v>
      </c>
      <c r="AH29" s="58" t="n">
        <v>1721.191</v>
      </c>
      <c r="AI29" s="59" t="n">
        <f aca="false">AG29+AH29</f>
        <v>6778.278</v>
      </c>
      <c r="AJ29" s="58" t="n">
        <v>387.312</v>
      </c>
      <c r="AK29" s="58" t="n">
        <v>4660.284</v>
      </c>
      <c r="AL29" s="58" t="n">
        <v>4123.497</v>
      </c>
      <c r="AM29" s="58" t="n">
        <v>4062.674</v>
      </c>
      <c r="AN29" s="58" t="n">
        <v>40284.983</v>
      </c>
      <c r="AO29" s="58" t="n">
        <v>19713.262</v>
      </c>
      <c r="AP29" s="58" t="n">
        <v>20571.721</v>
      </c>
      <c r="AQ29" s="58" t="n">
        <v>19509.382</v>
      </c>
      <c r="AR29" s="58" t="n">
        <v>5517.001</v>
      </c>
      <c r="AS29" s="58" t="n">
        <v>19500.01</v>
      </c>
      <c r="AT29" s="58" t="n">
        <v>15732.564</v>
      </c>
      <c r="AU29" s="58" t="n">
        <v>10466.66</v>
      </c>
      <c r="AV29" s="58" t="n">
        <v>2288.785</v>
      </c>
      <c r="AW29" s="58" t="n">
        <v>4024.463</v>
      </c>
      <c r="AX29" s="58" t="n">
        <v>109.875</v>
      </c>
      <c r="AY29" s="60"/>
      <c r="AZ29" s="60" t="s">
        <v>254</v>
      </c>
    </row>
    <row r="30" customFormat="false" ht="15" hidden="false" customHeight="false" outlineLevel="0" collapsed="false">
      <c r="A30" s="42" t="s">
        <v>333</v>
      </c>
      <c r="B30" s="42" t="s">
        <v>131</v>
      </c>
      <c r="C30" s="42" t="s">
        <v>154</v>
      </c>
      <c r="D30" s="42" t="s">
        <v>129</v>
      </c>
      <c r="E30" s="42" t="s">
        <v>150</v>
      </c>
      <c r="F30" s="42" t="s">
        <v>83</v>
      </c>
      <c r="G30" s="42" t="s">
        <v>334</v>
      </c>
      <c r="H30" s="61" t="n">
        <f aca="false">VLOOKUP(F30,FX!$A$5:$B$8,2,FALSE())</f>
        <v>7.129</v>
      </c>
      <c r="I30" s="58" t="n">
        <v>44956.23</v>
      </c>
      <c r="J30" s="58" t="n">
        <v>36118.781</v>
      </c>
      <c r="K30" s="59" t="n">
        <f aca="false">IF(J30="","",I30-J30)</f>
        <v>8837.449</v>
      </c>
      <c r="L30" s="58" t="n">
        <v>4777.353</v>
      </c>
      <c r="M30" s="58" t="n">
        <v>2189.686</v>
      </c>
      <c r="N30" s="59" t="n">
        <f aca="false">L30+M30</f>
        <v>6967.039</v>
      </c>
      <c r="O30" s="58" t="n">
        <v>327.976</v>
      </c>
      <c r="P30" s="58" t="n">
        <v>4287.902</v>
      </c>
      <c r="Q30" s="58" t="n">
        <v>4147.469</v>
      </c>
      <c r="R30" s="58" t="n">
        <v>4147.466</v>
      </c>
      <c r="S30" s="58" t="n">
        <v>52221.061</v>
      </c>
      <c r="T30" s="58" t="n">
        <v>27408.917</v>
      </c>
      <c r="U30" s="58" t="n">
        <v>24812.145</v>
      </c>
      <c r="V30" s="58" t="n">
        <v>24811.363</v>
      </c>
      <c r="W30" s="58" t="n">
        <v>5242.326</v>
      </c>
      <c r="X30" s="58" t="n">
        <v>25238.914</v>
      </c>
      <c r="Y30" s="58" t="n">
        <v>23437.867</v>
      </c>
      <c r="Z30" s="58" t="n">
        <v>12862.265</v>
      </c>
      <c r="AA30" s="58" t="n">
        <v>1903.845</v>
      </c>
      <c r="AB30" s="58" t="n">
        <v>3505.964</v>
      </c>
      <c r="AC30" s="58" t="n">
        <v>190.771</v>
      </c>
      <c r="AD30" s="58" t="n">
        <v>39254.81</v>
      </c>
      <c r="AE30" s="58" t="n">
        <v>31606.555</v>
      </c>
      <c r="AF30" s="59" t="n">
        <f aca="false">IF(AE30="","",AD30-AE30)</f>
        <v>7648.255</v>
      </c>
      <c r="AG30" s="58" t="n">
        <v>4076.732</v>
      </c>
      <c r="AH30" s="58" t="n">
        <v>1979.651</v>
      </c>
      <c r="AI30" s="59" t="n">
        <f aca="false">AG30+AH30</f>
        <v>6056.383</v>
      </c>
      <c r="AJ30" s="58" t="n">
        <v>347.907</v>
      </c>
      <c r="AK30" s="58" t="n">
        <v>3880.524</v>
      </c>
      <c r="AL30" s="58" t="n">
        <v>3787.149</v>
      </c>
      <c r="AM30" s="58" t="n">
        <v>3787.17</v>
      </c>
      <c r="AN30" s="58" t="n">
        <v>44824.439</v>
      </c>
      <c r="AO30" s="58" t="n">
        <v>27347.1</v>
      </c>
      <c r="AP30" s="58" t="n">
        <v>17477.339</v>
      </c>
      <c r="AQ30" s="58" t="n">
        <v>17476.561</v>
      </c>
      <c r="AR30" s="58" t="n">
        <v>4119.42</v>
      </c>
      <c r="AS30" s="58" t="n">
        <v>21707.545</v>
      </c>
      <c r="AT30" s="58" t="n">
        <v>22531.197</v>
      </c>
      <c r="AU30" s="58" t="n">
        <v>12728.383</v>
      </c>
      <c r="AV30" s="58" t="n">
        <v>3041.257</v>
      </c>
      <c r="AW30" s="58" t="n">
        <v>2343.076</v>
      </c>
      <c r="AX30" s="58" t="n">
        <v>184.724</v>
      </c>
      <c r="AY30" s="60"/>
      <c r="AZ30" s="60" t="s">
        <v>254</v>
      </c>
    </row>
    <row r="31" customFormat="false" ht="28.35" hidden="false" customHeight="false" outlineLevel="0" collapsed="false">
      <c r="A31" s="42" t="s">
        <v>335</v>
      </c>
      <c r="B31" s="42" t="s">
        <v>132</v>
      </c>
      <c r="C31" s="42" t="s">
        <v>154</v>
      </c>
      <c r="D31" s="42" t="s">
        <v>336</v>
      </c>
      <c r="E31" s="42" t="s">
        <v>150</v>
      </c>
      <c r="F31" s="42" t="s">
        <v>83</v>
      </c>
      <c r="G31" s="42" t="s">
        <v>337</v>
      </c>
      <c r="H31" s="61" t="n">
        <f aca="false">VLOOKUP(F31,FX!$A$5:$B$8,2,FALSE())</f>
        <v>7.129</v>
      </c>
      <c r="I31" s="58" t="n">
        <v>42237.152</v>
      </c>
      <c r="J31" s="58" t="n">
        <v>41174.759</v>
      </c>
      <c r="K31" s="59" t="n">
        <f aca="false">IF(J31="","",I31-J31)</f>
        <v>1062.393</v>
      </c>
      <c r="L31" s="58" t="n">
        <v>157.362</v>
      </c>
      <c r="M31" s="58" t="n">
        <v>826.55</v>
      </c>
      <c r="N31" s="59" t="n">
        <f aca="false">L31+M31</f>
        <v>983.912</v>
      </c>
      <c r="O31" s="58" t="n">
        <v>678.538</v>
      </c>
      <c r="P31" s="58" t="n">
        <v>-128.769</v>
      </c>
      <c r="Q31" s="58" t="n">
        <v>-313.296</v>
      </c>
      <c r="R31" s="58" t="n">
        <v>-103.031</v>
      </c>
      <c r="S31" s="58" t="n">
        <v>33833.966</v>
      </c>
      <c r="T31" s="58" t="n">
        <v>23781.668</v>
      </c>
      <c r="U31" s="58" t="n">
        <v>10052.298</v>
      </c>
      <c r="V31" s="58" t="n">
        <v>10098.102</v>
      </c>
      <c r="W31" s="58" t="n">
        <v>5269.006</v>
      </c>
      <c r="X31" s="58" t="n">
        <v>13389.953</v>
      </c>
      <c r="Y31" s="58" t="n">
        <v>14502.652</v>
      </c>
      <c r="Z31" s="58" t="n">
        <v>17230.455</v>
      </c>
      <c r="AA31" s="58" t="n">
        <v>2504.831</v>
      </c>
      <c r="AB31" s="58" t="n">
        <v>615.461</v>
      </c>
      <c r="AC31" s="58" t="n">
        <v>134.493</v>
      </c>
      <c r="AD31" s="58" t="n">
        <v>42004.166</v>
      </c>
      <c r="AE31" s="58" t="n">
        <v>40411.157</v>
      </c>
      <c r="AF31" s="59" t="n">
        <f aca="false">IF(AE31="","",AD31-AE31)</f>
        <v>1593.009</v>
      </c>
      <c r="AG31" s="58" t="n">
        <v>132.166</v>
      </c>
      <c r="AH31" s="58" t="n">
        <v>807.422</v>
      </c>
      <c r="AI31" s="59" t="n">
        <f aca="false">AG31+AH31</f>
        <v>939.588</v>
      </c>
      <c r="AJ31" s="58" t="n">
        <v>743.772</v>
      </c>
      <c r="AK31" s="58" t="n">
        <v>135.082</v>
      </c>
      <c r="AL31" s="58" t="n">
        <v>-85.691</v>
      </c>
      <c r="AM31" s="58" t="n">
        <v>103.389</v>
      </c>
      <c r="AN31" s="58" t="n">
        <v>36069.765</v>
      </c>
      <c r="AO31" s="58" t="n">
        <v>24771.383</v>
      </c>
      <c r="AP31" s="58" t="n">
        <v>11298.382</v>
      </c>
      <c r="AQ31" s="58" t="n">
        <v>9846.348</v>
      </c>
      <c r="AR31" s="58" t="n">
        <v>5687.636</v>
      </c>
      <c r="AS31" s="58" t="n">
        <v>15465.796</v>
      </c>
      <c r="AT31" s="58" t="n">
        <v>15193.001</v>
      </c>
      <c r="AU31" s="58" t="n">
        <v>17792.022</v>
      </c>
      <c r="AV31" s="58" t="n">
        <v>1555.28</v>
      </c>
      <c r="AW31" s="58" t="n">
        <v>871.25</v>
      </c>
      <c r="AX31" s="58" t="n">
        <v>132.644</v>
      </c>
      <c r="AY31" s="60" t="s">
        <v>338</v>
      </c>
      <c r="AZ31" s="60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4"/>
  </cols>
  <sheetData>
    <row r="1" customFormat="false" ht="18.55" hidden="false" customHeight="false" outlineLevel="0" collapsed="false">
      <c r="A1" s="5" t="s">
        <v>339</v>
      </c>
    </row>
    <row r="2" customFormat="false" ht="15" hidden="false" customHeight="false" outlineLevel="0" collapsed="false">
      <c r="A2" s="6" t="s">
        <v>340</v>
      </c>
    </row>
    <row r="4" customFormat="false" ht="15" hidden="false" customHeight="false" outlineLevel="0" collapsed="false">
      <c r="A4" s="7" t="s">
        <v>225</v>
      </c>
      <c r="B4" s="7" t="s">
        <v>341</v>
      </c>
      <c r="C4" s="7" t="s">
        <v>342</v>
      </c>
    </row>
    <row r="5" customFormat="false" ht="15" hidden="false" customHeight="false" outlineLevel="0" collapsed="false">
      <c r="A5" s="42" t="s">
        <v>101</v>
      </c>
      <c r="B5" s="62" t="n">
        <v>1</v>
      </c>
      <c r="C5" s="62" t="n">
        <v>1</v>
      </c>
    </row>
    <row r="6" customFormat="false" ht="15" hidden="false" customHeight="false" outlineLevel="0" collapsed="false">
      <c r="A6" s="42" t="s">
        <v>83</v>
      </c>
      <c r="B6" s="62" t="n">
        <v>7.129</v>
      </c>
      <c r="C6" s="62" t="n">
        <v>7.189</v>
      </c>
    </row>
    <row r="7" customFormat="false" ht="15" hidden="false" customHeight="false" outlineLevel="0" collapsed="false">
      <c r="A7" s="42" t="s">
        <v>121</v>
      </c>
      <c r="B7" s="62" t="n">
        <v>0.886</v>
      </c>
      <c r="C7" s="62" t="n">
        <v>0.924</v>
      </c>
    </row>
    <row r="8" customFormat="false" ht="15" hidden="false" customHeight="false" outlineLevel="0" collapsed="false">
      <c r="A8" s="42" t="s">
        <v>126</v>
      </c>
      <c r="B8" s="62" t="n">
        <v>149.632</v>
      </c>
      <c r="C8" s="62" t="n">
        <v>151.353</v>
      </c>
    </row>
    <row r="11" customFormat="false" ht="15" hidden="false" customHeight="false" outlineLevel="0" collapsed="false">
      <c r="A11" s="6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8.55" hidden="false" customHeight="false" outlineLevel="0" collapsed="false">
      <c r="A1" s="5" t="s">
        <v>344</v>
      </c>
    </row>
    <row r="3" customFormat="false" ht="15" hidden="false" customHeight="false" outlineLevel="0" collapsed="false">
      <c r="A3" s="0" t="s">
        <v>345</v>
      </c>
      <c r="B3" s="0" t="s">
        <v>346</v>
      </c>
    </row>
    <row r="4" customFormat="false" ht="15" hidden="false" customHeight="false" outlineLevel="0" collapsed="false">
      <c r="A4" s="0" t="s">
        <v>347</v>
      </c>
      <c r="B4" s="0" t="s">
        <v>348</v>
      </c>
    </row>
    <row r="5" customFormat="false" ht="15" hidden="false" customHeight="false" outlineLevel="0" collapsed="false">
      <c r="A5" s="0" t="s">
        <v>349</v>
      </c>
      <c r="B5" s="0" t="s">
        <v>350</v>
      </c>
    </row>
    <row r="6" customFormat="false" ht="15" hidden="false" customHeight="false" outlineLevel="0" collapsed="false">
      <c r="A6" s="0" t="s">
        <v>351</v>
      </c>
      <c r="B6" s="0" t="s">
        <v>352</v>
      </c>
    </row>
    <row r="7" customFormat="false" ht="15" hidden="false" customHeight="false" outlineLevel="0" collapsed="false">
      <c r="A7" s="0" t="s">
        <v>353</v>
      </c>
      <c r="B7" s="0" t="s">
        <v>354</v>
      </c>
    </row>
    <row r="8" customFormat="false" ht="15" hidden="false" customHeight="false" outlineLevel="0" collapsed="false">
      <c r="A8" s="0" t="s">
        <v>355</v>
      </c>
      <c r="B8" s="0" t="s">
        <v>356</v>
      </c>
    </row>
    <row r="9" customFormat="false" ht="15" hidden="false" customHeight="false" outlineLevel="0" collapsed="false">
      <c r="A9" s="0" t="s">
        <v>357</v>
      </c>
      <c r="B9" s="0" t="s">
        <v>358</v>
      </c>
    </row>
    <row r="10" customFormat="false" ht="15" hidden="false" customHeight="false" outlineLevel="0" collapsed="false">
      <c r="A10" s="0" t="s">
        <v>359</v>
      </c>
      <c r="B10" s="0" t="s">
        <v>360</v>
      </c>
    </row>
    <row r="11" customFormat="false" ht="15" hidden="false" customHeight="false" outlineLevel="0" collapsed="false">
      <c r="A11" s="0" t="s">
        <v>361</v>
      </c>
      <c r="B11" s="0" t="s">
        <v>362</v>
      </c>
    </row>
    <row r="12" customFormat="false" ht="15" hidden="false" customHeight="false" outlineLevel="0" collapsed="false">
      <c r="A12" s="0" t="s">
        <v>363</v>
      </c>
      <c r="B12" s="0" t="s">
        <v>364</v>
      </c>
    </row>
    <row r="13" customFormat="false" ht="15" hidden="false" customHeight="false" outlineLevel="0" collapsed="false">
      <c r="A13" s="0" t="s">
        <v>365</v>
      </c>
      <c r="B13" s="0" t="s">
        <v>366</v>
      </c>
    </row>
    <row r="14" customFormat="false" ht="15" hidden="false" customHeight="false" outlineLevel="0" collapsed="false">
      <c r="A14" s="0" t="s">
        <v>367</v>
      </c>
      <c r="B14" s="0" t="s">
        <v>368</v>
      </c>
    </row>
    <row r="15" customFormat="false" ht="15" hidden="false" customHeight="false" outlineLevel="0" collapsed="false">
      <c r="A15" s="0" t="s">
        <v>369</v>
      </c>
      <c r="B15" s="0" t="s">
        <v>370</v>
      </c>
    </row>
    <row r="16" customFormat="false" ht="15" hidden="false" customHeight="false" outlineLevel="0" collapsed="false">
      <c r="A16" s="0" t="s">
        <v>371</v>
      </c>
      <c r="B16" s="0" t="s">
        <v>372</v>
      </c>
    </row>
    <row r="17" customFormat="false" ht="15" hidden="false" customHeight="false" outlineLevel="0" collapsed="false">
      <c r="A17" s="0" t="s">
        <v>373</v>
      </c>
      <c r="B17" s="0" t="s">
        <v>374</v>
      </c>
    </row>
    <row r="18" customFormat="false" ht="15" hidden="false" customHeight="false" outlineLevel="0" collapsed="false">
      <c r="A18" s="0" t="s">
        <v>375</v>
      </c>
      <c r="B18" s="0" t="s">
        <v>376</v>
      </c>
    </row>
    <row r="19" customFormat="false" ht="15" hidden="false" customHeight="false" outlineLevel="0" collapsed="false">
      <c r="A19" s="0" t="s">
        <v>377</v>
      </c>
      <c r="B19" s="0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2026-10-12T14:50:08Z</dcterms:created>
  <dc:creator>openpyxl</dc:creator>
  <dc:description/>
  <dc:language>en-US</dc:language>
  <cp:lastModifiedBy/>
  <dcterms:modified xsi:type="dcterms:W3CDTF">2026-10-12T14:50:08Z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