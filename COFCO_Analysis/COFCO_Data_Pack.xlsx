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roup_financials" sheetId="2" state="visible" r:id="rId2"/>
    <sheet xmlns:r="http://schemas.openxmlformats.org/officeDocument/2006/relationships" name="group_segments" sheetId="3" state="visible" r:id="rId3"/>
    <sheet xmlns:r="http://schemas.openxmlformats.org/officeDocument/2006/relationships" name="group_segment_gp_2025" sheetId="4" state="visible" r:id="rId4"/>
    <sheet xmlns:r="http://schemas.openxmlformats.org/officeDocument/2006/relationships" name="cofco_intl" sheetId="5" state="visible" r:id="rId5"/>
    <sheet xmlns:r="http://schemas.openxmlformats.org/officeDocument/2006/relationships" name="traders" sheetId="6" state="visible" r:id="rId6"/>
    <sheet xmlns:r="http://schemas.openxmlformats.org/officeDocument/2006/relationships" name="soy_imports" sheetId="7" state="visible" r:id="rId7"/>
    <sheet xmlns:r="http://schemas.openxmlformats.org/officeDocument/2006/relationships" name="joycome" sheetId="8" state="visible" r:id="rId8"/>
    <sheet xmlns:r="http://schemas.openxmlformats.org/officeDocument/2006/relationships" name="joycome_segments" sheetId="9" state="visible" r:id="rId9"/>
    <sheet xmlns:r="http://schemas.openxmlformats.org/officeDocument/2006/relationships" name="pork_peers" sheetId="10" state="visible" r:id="rId10"/>
    <sheet xmlns:r="http://schemas.openxmlformats.org/officeDocument/2006/relationships" name="sow_herd" sheetId="11" state="visible" r:id="rId11"/>
    <sheet xmlns:r="http://schemas.openxmlformats.org/officeDocument/2006/relationships" name="mengniu" sheetId="12" state="visible" r:id="rId12"/>
    <sheet xmlns:r="http://schemas.openxmlformats.org/officeDocument/2006/relationships" name="mengniu_segments" sheetId="13" state="visible" r:id="rId13"/>
    <sheet xmlns:r="http://schemas.openxmlformats.org/officeDocument/2006/relationships" name="dairy_peers" sheetId="14" state="visible" r:id="rId14"/>
    <sheet xmlns:r="http://schemas.openxmlformats.org/officeDocument/2006/relationships" name="ratios" sheetId="15" state="visible" r:id="rId15"/>
    <sheet xmlns:r="http://schemas.openxmlformats.org/officeDocument/2006/relationships" name="cycle_scor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COFCO Corporation - analysis data pack</t>
        </is>
      </c>
    </row>
    <row r="3">
      <c r="A3" t="inlineStr">
        <is>
          <t>Each sheet = one table used in the report. Sources: see the 'source' row and resources/SOURCES.md.</t>
        </is>
      </c>
    </row>
    <row r="4">
      <c r="A4" t="inlineStr">
        <is>
          <t>Prepared 13 Oct 2026. Educational analysis;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COFCO Corporation (consolidated) - headline financials, RMB bn</t>
        </is>
      </c>
    </row>
    <row r="3">
      <c r="A3" s="3" t="inlineStr">
        <is>
          <t>year</t>
        </is>
      </c>
      <c r="B3" s="3" t="inlineStr">
        <is>
          <t>total_revenue</t>
        </is>
      </c>
      <c r="C3" s="3" t="inlineStr">
        <is>
          <t>total_profit_pre_tax</t>
        </is>
      </c>
      <c r="D3" s="3" t="inlineStr">
        <is>
          <t>net_profit</t>
        </is>
      </c>
      <c r="E3" s="3" t="inlineStr">
        <is>
          <t>net_profit_to_parent</t>
        </is>
      </c>
      <c r="F3" s="3" t="inlineStr">
        <is>
          <t>total_assets</t>
        </is>
      </c>
      <c r="G3" s="3" t="inlineStr">
        <is>
          <t>liabilities_to_assets_pct</t>
        </is>
      </c>
      <c r="H3" s="3" t="inlineStr">
        <is>
          <t>total_debt</t>
        </is>
      </c>
      <c r="I3" s="3" t="inlineStr">
        <is>
          <t>ebitda</t>
        </is>
      </c>
      <c r="J3" s="3" t="inlineStr">
        <is>
          <t>debt_to_ebitda_x</t>
        </is>
      </c>
    </row>
    <row r="4">
      <c r="A4" t="n">
        <v>2021</v>
      </c>
      <c r="B4" t="n">
        <v>664.95</v>
      </c>
      <c r="C4" t="n">
        <v>23.81</v>
      </c>
      <c r="F4" t="n">
        <v>686.01</v>
      </c>
      <c r="G4" t="n">
        <v>70.39</v>
      </c>
      <c r="H4" t="n">
        <v>224.54</v>
      </c>
      <c r="I4" t="n">
        <v>39.99</v>
      </c>
      <c r="J4" t="n">
        <v>5.62</v>
      </c>
    </row>
    <row r="5">
      <c r="A5" t="n">
        <v>2022</v>
      </c>
      <c r="B5" t="n">
        <v>741.4400000000001</v>
      </c>
      <c r="C5" t="n">
        <v>22.85</v>
      </c>
      <c r="F5" t="n">
        <v>695.5700000000001</v>
      </c>
      <c r="G5" t="n">
        <v>69.01000000000001</v>
      </c>
      <c r="H5" t="n">
        <v>214.36</v>
      </c>
      <c r="I5" t="n">
        <v>40.26</v>
      </c>
      <c r="J5" t="n">
        <v>5.32</v>
      </c>
    </row>
    <row r="6">
      <c r="A6" t="n">
        <v>2023</v>
      </c>
      <c r="B6" t="n">
        <v>692.1</v>
      </c>
      <c r="C6" t="n">
        <v>21.17</v>
      </c>
      <c r="F6" t="n">
        <v>730.65</v>
      </c>
      <c r="G6" t="n">
        <v>65.34999999999999</v>
      </c>
      <c r="H6" t="n">
        <v>231.64</v>
      </c>
      <c r="I6" t="n">
        <v>39.48</v>
      </c>
      <c r="J6" t="n">
        <v>5.87</v>
      </c>
    </row>
    <row r="7">
      <c r="A7" t="n">
        <v>2024</v>
      </c>
      <c r="B7" t="n">
        <v>619.05</v>
      </c>
      <c r="C7" t="n">
        <v>11.78</v>
      </c>
      <c r="D7" t="n">
        <v>5.01</v>
      </c>
      <c r="E7" t="n">
        <v>1.87</v>
      </c>
      <c r="F7" t="n">
        <v>693.76</v>
      </c>
      <c r="G7" t="n">
        <v>63.31</v>
      </c>
    </row>
    <row r="8">
      <c r="A8" t="n">
        <v>2025</v>
      </c>
      <c r="B8" t="n">
        <v>589.0599999999999</v>
      </c>
      <c r="C8" t="n">
        <v>12.05</v>
      </c>
      <c r="D8" t="n">
        <v>5.89</v>
      </c>
      <c r="E8" t="n">
        <v>2.41</v>
      </c>
      <c r="F8" t="n">
        <v>721.6</v>
      </c>
      <c r="G8" t="n">
        <v>64.55</v>
      </c>
    </row>
    <row r="10">
      <c r="A10" s="4" t="inlineStr">
        <is>
          <t>Source tags: G1, G2, G3</t>
        </is>
      </c>
    </row>
    <row r="11">
      <c r="A11" s="4" t="inlineStr">
        <is>
          <t>Note: 2021-2023 from Lianhe ratings (as originally reported). 2024-2025 from the 2025 bond annual report; 2024 is restated for an accounting policy change (originally RMB 635.0bn revenue / 8.2bn pre-tax profit). 2024 debt/EBITDA as originally reported: debt 200.6bn, EBITDA 25.9bn, 7.73x.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COFCO Corporation - operating revenue and gross margin by segment, RMB bn</t>
        </is>
      </c>
    </row>
    <row r="3">
      <c r="A3" s="3" t="inlineStr">
        <is>
          <t>segment</t>
        </is>
      </c>
      <c r="B3" s="3" t="inlineStr">
        <is>
          <t>rev_2023</t>
        </is>
      </c>
      <c r="C3" s="3" t="inlineStr">
        <is>
          <t>gm_2023_pct</t>
        </is>
      </c>
      <c r="D3" s="3" t="inlineStr">
        <is>
          <t>rev_2024</t>
        </is>
      </c>
      <c r="E3" s="3" t="inlineStr">
        <is>
          <t>gm_2024_pct</t>
        </is>
      </c>
      <c r="F3" s="3" t="inlineStr">
        <is>
          <t>rev_2025</t>
        </is>
      </c>
      <c r="G3" s="3" t="inlineStr">
        <is>
          <t>gm_2025_pct</t>
        </is>
      </c>
    </row>
    <row r="4">
      <c r="A4" t="inlineStr">
        <is>
          <t>Agri trading &amp; processing (grain, oilseed, sugar, cotton, meat)</t>
        </is>
      </c>
      <c r="B4" t="n">
        <v>600.66</v>
      </c>
      <c r="C4" t="n">
        <v>5.43</v>
      </c>
      <c r="D4" t="n">
        <v>543.2</v>
      </c>
      <c r="E4" t="n">
        <v>5.87</v>
      </c>
      <c r="F4" t="n">
        <v>518.25</v>
      </c>
      <c r="G4" t="n">
        <v>5.82</v>
      </c>
    </row>
    <row r="5">
      <c r="A5" t="inlineStr">
        <is>
          <t>Food &amp; packaging (China Foods/Coca-Cola, tea, liquor)</t>
        </is>
      </c>
      <c r="B5" t="n">
        <v>30.48</v>
      </c>
      <c r="C5" t="n">
        <v>42.79</v>
      </c>
      <c r="D5" t="n">
        <v>28.36</v>
      </c>
      <c r="E5" t="n">
        <v>35.39</v>
      </c>
      <c r="F5" t="n">
        <v>27.95</v>
      </c>
      <c r="G5" t="n">
        <v>33.71</v>
      </c>
    </row>
    <row r="6">
      <c r="A6" t="inlineStr">
        <is>
          <t>Hotels &amp; property (Joy City)</t>
        </is>
      </c>
      <c r="B6" t="n">
        <v>36.9</v>
      </c>
      <c r="C6" t="n">
        <v>26.42</v>
      </c>
      <c r="D6" t="n">
        <v>35.91</v>
      </c>
      <c r="E6" t="n">
        <v>21.41</v>
      </c>
      <c r="F6" t="n">
        <v>31.02</v>
      </c>
      <c r="G6" t="n">
        <v>31.17</v>
      </c>
    </row>
    <row r="7">
      <c r="A7" t="inlineStr">
        <is>
          <t>Finance &amp; other</t>
        </is>
      </c>
      <c r="B7" t="n">
        <v>4.63</v>
      </c>
      <c r="C7" t="n">
        <v>14.89</v>
      </c>
      <c r="D7" t="n">
        <v>2.39</v>
      </c>
      <c r="E7" t="n">
        <v>36.37</v>
      </c>
      <c r="F7" t="n">
        <v>2.38</v>
      </c>
      <c r="G7" t="n">
        <v>35.48</v>
      </c>
    </row>
    <row r="9">
      <c r="A9" s="4" t="inlineStr">
        <is>
          <t>Source tags: G1, G3</t>
        </is>
      </c>
    </row>
    <row r="10">
      <c r="A10" s="4" t="inlineStr">
        <is>
          <t>Note: Operating revenue excludes insurance/interest income. Mengniu (dairy) is equity-accounted, so it is not in these lines.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COFCO Corporation - 2025 revenue share vs gross-profit share</t>
        </is>
      </c>
    </row>
    <row r="3">
      <c r="A3" s="3" t="inlineStr">
        <is>
          <t>segment</t>
        </is>
      </c>
      <c r="B3" s="3" t="inlineStr">
        <is>
          <t>revenue_bn</t>
        </is>
      </c>
      <c r="C3" s="3" t="inlineStr">
        <is>
          <t>gross_profit_bn</t>
        </is>
      </c>
      <c r="D3" s="3" t="inlineStr">
        <is>
          <t>revenue_share_pct</t>
        </is>
      </c>
      <c r="E3" s="3" t="inlineStr">
        <is>
          <t>gp_share_pct</t>
        </is>
      </c>
    </row>
    <row r="4">
      <c r="A4" t="inlineStr">
        <is>
          <t>Agri trading &amp; processing</t>
        </is>
      </c>
      <c r="B4" t="n">
        <v>518.2</v>
      </c>
      <c r="C4" t="n">
        <v>30.2</v>
      </c>
      <c r="D4" t="n">
        <v>89.40000000000001</v>
      </c>
      <c r="E4" t="n">
        <v>60.2</v>
      </c>
    </row>
    <row r="5">
      <c r="A5" t="inlineStr">
        <is>
          <t>Food &amp; packaging</t>
        </is>
      </c>
      <c r="B5" t="n">
        <v>27.9</v>
      </c>
      <c r="C5" t="n">
        <v>9.4</v>
      </c>
      <c r="D5" t="n">
        <v>4.8</v>
      </c>
      <c r="E5" t="n">
        <v>18.8</v>
      </c>
    </row>
    <row r="6">
      <c r="A6" t="inlineStr">
        <is>
          <t>Hotels &amp; property</t>
        </is>
      </c>
      <c r="B6" t="n">
        <v>31</v>
      </c>
      <c r="C6" t="n">
        <v>9.699999999999999</v>
      </c>
      <c r="D6" t="n">
        <v>5.4</v>
      </c>
      <c r="E6" t="n">
        <v>19.3</v>
      </c>
    </row>
    <row r="7">
      <c r="A7" t="inlineStr">
        <is>
          <t>Finance &amp; other</t>
        </is>
      </c>
      <c r="B7" t="n">
        <v>2.4</v>
      </c>
      <c r="C7" t="n">
        <v>0.8</v>
      </c>
      <c r="D7" t="n">
        <v>0.4</v>
      </c>
      <c r="E7" t="n">
        <v>1.7</v>
      </c>
    </row>
    <row r="9">
      <c r="A9" s="4" t="inlineStr">
        <is>
          <t>Source tags: G3</t>
        </is>
      </c>
    </row>
    <row r="10">
      <c r="A10" s="4" t="inlineStr">
        <is>
          <t>Note: Gross profit = revenue - cost of sales by segment (bond annual report table).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COFCO International - revenue (US$ bn) and volumes (million tonnes)</t>
        </is>
      </c>
    </row>
    <row r="3">
      <c r="A3" s="3" t="inlineStr">
        <is>
          <t>year</t>
        </is>
      </c>
      <c r="B3" s="3" t="inlineStr">
        <is>
          <t>revenue_usd_bn</t>
        </is>
      </c>
      <c r="C3" s="3" t="inlineStr">
        <is>
          <t>volume_mt</t>
        </is>
      </c>
    </row>
    <row r="4">
      <c r="A4" t="n">
        <v>2020</v>
      </c>
      <c r="B4" t="n">
        <v>33</v>
      </c>
      <c r="C4" t="n">
        <v>131</v>
      </c>
    </row>
    <row r="5">
      <c r="A5" t="n">
        <v>2021</v>
      </c>
      <c r="B5" t="n">
        <v>48</v>
      </c>
      <c r="C5" t="n">
        <v>133</v>
      </c>
    </row>
    <row r="6">
      <c r="A6" t="n">
        <v>2022</v>
      </c>
      <c r="B6" t="n">
        <v>53.3</v>
      </c>
      <c r="C6" t="n">
        <v>127</v>
      </c>
    </row>
    <row r="7">
      <c r="A7" t="n">
        <v>2023</v>
      </c>
      <c r="B7" t="n">
        <v>50.1</v>
      </c>
      <c r="C7" t="n">
        <v>121.7</v>
      </c>
    </row>
    <row r="8">
      <c r="A8" t="n">
        <v>2024</v>
      </c>
      <c r="B8" t="n">
        <v>38.5</v>
      </c>
      <c r="C8" t="n">
        <v>108.4</v>
      </c>
    </row>
    <row r="9">
      <c r="A9" t="n">
        <v>2025</v>
      </c>
      <c r="B9" t="n">
        <v>34.5</v>
      </c>
      <c r="C9" t="n">
        <v>100.4</v>
      </c>
    </row>
    <row r="11">
      <c r="A11" s="4" t="inlineStr">
        <is>
          <t>Source tags: C1, C2, C3, C4</t>
        </is>
      </c>
    </row>
    <row r="12">
      <c r="A12" s="4" t="inlineStr">
        <is>
          <t>Note: 2020-2021 volume is total traded volume; 2022+ is third-party sales volume. Profit is not disclosed.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Global grain traders - revenue (US$ bn) and net income (US$ bn)</t>
        </is>
      </c>
    </row>
    <row r="3">
      <c r="A3" s="3" t="inlineStr">
        <is>
          <t>company</t>
        </is>
      </c>
      <c r="B3" s="3" t="inlineStr">
        <is>
          <t>rev_2021</t>
        </is>
      </c>
      <c r="C3" s="3" t="inlineStr">
        <is>
          <t>rev_2022</t>
        </is>
      </c>
      <c r="D3" s="3" t="inlineStr">
        <is>
          <t>rev_2023</t>
        </is>
      </c>
      <c r="E3" s="3" t="inlineStr">
        <is>
          <t>rev_2024</t>
        </is>
      </c>
      <c r="F3" s="3" t="inlineStr">
        <is>
          <t>rev_2025</t>
        </is>
      </c>
      <c r="G3" s="3" t="inlineStr">
        <is>
          <t>ni_2021</t>
        </is>
      </c>
      <c r="H3" s="3" t="inlineStr">
        <is>
          <t>ni_2022</t>
        </is>
      </c>
      <c r="I3" s="3" t="inlineStr">
        <is>
          <t>ni_2023</t>
        </is>
      </c>
      <c r="J3" s="3" t="inlineStr">
        <is>
          <t>ni_2024</t>
        </is>
      </c>
      <c r="K3" s="3" t="inlineStr">
        <is>
          <t>ni_2025</t>
        </is>
      </c>
    </row>
    <row r="4">
      <c r="A4" t="inlineStr">
        <is>
          <t>ADM</t>
        </is>
      </c>
      <c r="B4" t="n">
        <v>85.25</v>
      </c>
      <c r="C4" t="n">
        <v>101.56</v>
      </c>
      <c r="D4" t="n">
        <v>93.94</v>
      </c>
      <c r="E4" t="n">
        <v>85.53</v>
      </c>
      <c r="F4" t="n">
        <v>80.27</v>
      </c>
      <c r="G4" t="n">
        <v>2.71</v>
      </c>
      <c r="H4" t="n">
        <v>4.34</v>
      </c>
      <c r="I4" t="n">
        <v>3.48</v>
      </c>
      <c r="J4" t="n">
        <v>1.8</v>
      </c>
      <c r="K4" t="n">
        <v>1.08</v>
      </c>
    </row>
    <row r="5">
      <c r="A5" t="inlineStr">
        <is>
          <t>Bunge</t>
        </is>
      </c>
      <c r="B5" t="n">
        <v>59.15</v>
      </c>
      <c r="C5" t="n">
        <v>67.23</v>
      </c>
      <c r="D5" t="n">
        <v>59.54</v>
      </c>
      <c r="E5" t="n">
        <v>53.11</v>
      </c>
      <c r="F5" t="n">
        <v>70.33</v>
      </c>
      <c r="G5" t="n">
        <v>2.08</v>
      </c>
      <c r="H5" t="n">
        <v>1.61</v>
      </c>
      <c r="I5" t="n">
        <v>2.24</v>
      </c>
      <c r="J5" t="n">
        <v>1.14</v>
      </c>
      <c r="K5" t="n">
        <v>0.82</v>
      </c>
    </row>
    <row r="6">
      <c r="A6" t="inlineStr">
        <is>
          <t>Louis Dreyfus (LDC)</t>
        </is>
      </c>
      <c r="B6" t="n">
        <v>49.6</v>
      </c>
      <c r="C6" t="n">
        <v>59.9</v>
      </c>
      <c r="D6" t="n">
        <v>50.6</v>
      </c>
      <c r="E6" t="n">
        <v>50.6</v>
      </c>
      <c r="F6" t="n">
        <v>53.2</v>
      </c>
      <c r="G6" t="n">
        <v>0.7</v>
      </c>
      <c r="H6" t="n">
        <v>1.01</v>
      </c>
      <c r="I6" t="n">
        <v>1.01</v>
      </c>
      <c r="J6" t="n">
        <v>0.73</v>
      </c>
      <c r="K6" t="n">
        <v>0.65</v>
      </c>
    </row>
    <row r="7">
      <c r="A7" t="inlineStr">
        <is>
          <t>Wilmar</t>
        </is>
      </c>
      <c r="B7" t="n">
        <v>65.79000000000001</v>
      </c>
      <c r="C7" t="n">
        <v>73.40000000000001</v>
      </c>
      <c r="D7" t="n">
        <v>67.16</v>
      </c>
      <c r="E7" t="n">
        <v>67.38</v>
      </c>
      <c r="F7" t="n">
        <v>70.42</v>
      </c>
      <c r="G7" t="n">
        <v>1.89</v>
      </c>
      <c r="H7" t="n">
        <v>2.4</v>
      </c>
      <c r="I7" t="n">
        <v>1.52</v>
      </c>
      <c r="J7" t="n">
        <v>1.17</v>
      </c>
      <c r="K7" t="n">
        <v>1.41</v>
      </c>
    </row>
    <row r="8">
      <c r="A8" t="inlineStr">
        <is>
          <t>COFCO International</t>
        </is>
      </c>
      <c r="B8" t="n">
        <v>48</v>
      </c>
      <c r="C8" t="n">
        <v>53.3</v>
      </c>
      <c r="D8" t="n">
        <v>50.1</v>
      </c>
      <c r="E8" t="n">
        <v>38.5</v>
      </c>
      <c r="F8" t="n">
        <v>34.5</v>
      </c>
    </row>
    <row r="10">
      <c r="A10" s="4" t="inlineStr">
        <is>
          <t>Source tags: T1, T2, T3, T4, C1</t>
        </is>
      </c>
    </row>
    <row r="11">
      <c r="A11" s="4" t="inlineStr">
        <is>
          <t>Note: 2025 and 2024 figures checked against 2025 releases; 2021-2023 compiled from company annual reports. Bunge 2025 includes Viterra from July 2025. Wilmar 2025 net profit includes a US$1.14bn one-off gain; core net profit US$1.28bn.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2" t="inlineStr">
        <is>
          <t>China soybean imports, million tonnes (customs)</t>
        </is>
      </c>
    </row>
    <row r="3">
      <c r="A3" s="3" t="inlineStr">
        <is>
          <t>year</t>
        </is>
      </c>
      <c r="B3" s="3" t="inlineStr">
        <is>
          <t>imports_mt</t>
        </is>
      </c>
    </row>
    <row r="4">
      <c r="A4" t="n">
        <v>2019</v>
      </c>
      <c r="B4" t="n">
        <v>88.51000000000001</v>
      </c>
    </row>
    <row r="5">
      <c r="A5" t="n">
        <v>2020</v>
      </c>
      <c r="B5" t="n">
        <v>100.33</v>
      </c>
    </row>
    <row r="6">
      <c r="A6" t="n">
        <v>2021</v>
      </c>
      <c r="B6" t="n">
        <v>96.52</v>
      </c>
    </row>
    <row r="7">
      <c r="A7" t="n">
        <v>2022</v>
      </c>
      <c r="B7" t="n">
        <v>91.08</v>
      </c>
    </row>
    <row r="8">
      <c r="A8" t="n">
        <v>2023</v>
      </c>
      <c r="B8" t="n">
        <v>99.41</v>
      </c>
    </row>
    <row r="9">
      <c r="A9" t="n">
        <v>2024</v>
      </c>
      <c r="B9" t="n">
        <v>105.03</v>
      </c>
    </row>
    <row r="10">
      <c r="A10" t="n">
        <v>2025</v>
      </c>
      <c r="B10" t="n">
        <v>111.83</v>
      </c>
    </row>
    <row r="12">
      <c r="A12" s="4" t="inlineStr">
        <is>
          <t>Source tags: M1</t>
        </is>
      </c>
    </row>
    <row r="13">
      <c r="A13" s="4" t="inlineStr">
        <is>
          <t>Note: 2025 = 111.83mt (+6.5%), a record. Earlier years from GACC annual releases.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COFCO Joycome - key operating and financial data</t>
        </is>
      </c>
    </row>
    <row r="3">
      <c r="A3" s="3" t="inlineStr">
        <is>
          <t>period</t>
        </is>
      </c>
      <c r="B3" s="3" t="inlineStr">
        <is>
          <t>revenue_rmb_bn</t>
        </is>
      </c>
      <c r="C3" s="3" t="inlineStr">
        <is>
          <t>profit_before_ba_rmb_bn</t>
        </is>
      </c>
      <c r="D3" s="3" t="inlineStr">
        <is>
          <t>profit_after_ba_rmb_bn</t>
        </is>
      </c>
      <c r="E3" s="3" t="inlineStr">
        <is>
          <t>hog_asp_rmb_per_kg</t>
        </is>
      </c>
      <c r="F3" s="3" t="inlineStr">
        <is>
          <t>hog_volume_m_heads</t>
        </is>
      </c>
      <c r="G3" s="3" t="inlineStr">
        <is>
          <t>fresh_pork_kt</t>
        </is>
      </c>
    </row>
    <row r="4">
      <c r="A4" t="inlineStr">
        <is>
          <t>2019</t>
        </is>
      </c>
      <c r="B4" t="n">
        <v>11.08</v>
      </c>
      <c r="C4" t="n">
        <v>0.37</v>
      </c>
      <c r="D4" t="n">
        <v>1.52</v>
      </c>
      <c r="E4" t="n">
        <v>16.16</v>
      </c>
      <c r="F4" t="n">
        <v>1.985</v>
      </c>
      <c r="G4" t="n">
        <v>146</v>
      </c>
    </row>
    <row r="5">
      <c r="A5" t="inlineStr">
        <is>
          <t>2020</t>
        </is>
      </c>
      <c r="B5" t="n">
        <v>18.92</v>
      </c>
      <c r="C5" t="n">
        <v>2.91</v>
      </c>
      <c r="D5" t="n">
        <v>4.02</v>
      </c>
      <c r="E5" t="n">
        <v>32.33</v>
      </c>
      <c r="F5" t="n">
        <v>2.046</v>
      </c>
      <c r="G5" t="n">
        <v>109</v>
      </c>
    </row>
    <row r="6">
      <c r="A6" t="inlineStr">
        <is>
          <t>2021</t>
        </is>
      </c>
      <c r="B6" t="n">
        <v>13.23</v>
      </c>
      <c r="C6" t="n">
        <v>2.35</v>
      </c>
      <c r="D6" t="n">
        <v>-0.48</v>
      </c>
      <c r="E6" t="n">
        <v>18.26</v>
      </c>
      <c r="F6" t="n">
        <v>3.437</v>
      </c>
      <c r="G6" t="n">
        <v>166</v>
      </c>
    </row>
    <row r="7">
      <c r="A7" t="inlineStr">
        <is>
          <t>2022</t>
        </is>
      </c>
      <c r="B7" t="n">
        <v>12.9</v>
      </c>
      <c r="C7" t="n">
        <v>-0.32</v>
      </c>
      <c r="D7" t="n">
        <v>0.36</v>
      </c>
      <c r="E7" t="n">
        <v>17.86</v>
      </c>
      <c r="F7" t="n">
        <v>4.103</v>
      </c>
      <c r="G7" t="n">
        <v>231</v>
      </c>
    </row>
    <row r="8">
      <c r="A8" t="inlineStr">
        <is>
          <t>2023</t>
        </is>
      </c>
      <c r="B8" t="n">
        <v>17.24</v>
      </c>
      <c r="C8" t="n">
        <v>0.15</v>
      </c>
      <c r="D8" t="n">
        <v>-0.03</v>
      </c>
      <c r="E8" t="n">
        <v>14.55</v>
      </c>
      <c r="F8" t="n">
        <v>5.2</v>
      </c>
      <c r="G8" t="n">
        <v>245</v>
      </c>
    </row>
    <row r="9">
      <c r="A9" t="inlineStr">
        <is>
          <t>2024</t>
        </is>
      </c>
      <c r="B9" t="n">
        <v>16.33</v>
      </c>
      <c r="C9" t="n">
        <v>0.28</v>
      </c>
      <c r="D9" t="n">
        <v>0.55</v>
      </c>
      <c r="E9" t="n">
        <v>16.53</v>
      </c>
      <c r="F9" t="n">
        <v>3.56</v>
      </c>
      <c r="G9" t="n">
        <v>262</v>
      </c>
    </row>
    <row r="10">
      <c r="A10" t="inlineStr">
        <is>
          <t>2025</t>
        </is>
      </c>
      <c r="B10" t="n">
        <v>18.58</v>
      </c>
      <c r="C10" t="n">
        <v>-0.29</v>
      </c>
      <c r="D10" t="n">
        <v>-0.74</v>
      </c>
      <c r="E10" t="n">
        <v>13.39</v>
      </c>
      <c r="G10" t="n">
        <v>341</v>
      </c>
    </row>
    <row r="11">
      <c r="A11" t="inlineStr">
        <is>
          <t>H1 2025</t>
        </is>
      </c>
      <c r="B11" t="n">
        <v>8.960000000000001</v>
      </c>
      <c r="C11" t="n">
        <v>0.2</v>
      </c>
      <c r="D11" t="n">
        <v>0.32</v>
      </c>
      <c r="E11" t="n">
        <v>14.59</v>
      </c>
      <c r="G11" t="n">
        <v>150</v>
      </c>
    </row>
    <row r="12">
      <c r="A12" t="inlineStr">
        <is>
          <t>H1 2026</t>
        </is>
      </c>
      <c r="B12" t="n">
        <v>8.74</v>
      </c>
      <c r="C12" t="n">
        <v>-1.1</v>
      </c>
      <c r="D12" t="n">
        <v>-1.56</v>
      </c>
      <c r="E12" t="n">
        <v>10.27</v>
      </c>
      <c r="G12" t="n">
        <v>197</v>
      </c>
    </row>
    <row r="14">
      <c r="A14" s="4" t="inlineStr">
        <is>
          <t>Source tags: J1, J2, J3, J4, J5, J6</t>
        </is>
      </c>
    </row>
    <row r="15">
      <c r="A15" s="4" t="inlineStr">
        <is>
          <t>Note: Profit for the period (incl. minorities). BA = biological asset fair value adjustment. Hog volume no longer disclosed after 2024.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COFCO Joycome - segment results, RMB m</t>
        </is>
      </c>
    </row>
    <row r="3">
      <c r="A3" s="3" t="inlineStr">
        <is>
          <t>segment</t>
        </is>
      </c>
      <c r="B3" s="3" t="inlineStr">
        <is>
          <t>FY2024</t>
        </is>
      </c>
      <c r="C3" s="3" t="inlineStr">
        <is>
          <t>FY2025</t>
        </is>
      </c>
      <c r="D3" s="3" t="inlineStr">
        <is>
          <t>H1_2025</t>
        </is>
      </c>
      <c r="E3" s="3" t="inlineStr">
        <is>
          <t>H1_2026</t>
        </is>
      </c>
    </row>
    <row r="4">
      <c r="A4" t="inlineStr">
        <is>
          <t>Hog production</t>
        </is>
      </c>
      <c r="B4" t="n">
        <v>258.6</v>
      </c>
      <c r="C4" t="n">
        <v>-159.1</v>
      </c>
      <c r="D4" t="n">
        <v>243.9</v>
      </c>
      <c r="E4" t="n">
        <v>-993.7</v>
      </c>
    </row>
    <row r="5">
      <c r="A5" t="inlineStr">
        <is>
          <t>Feed</t>
        </is>
      </c>
      <c r="B5" t="n">
        <v>202.4</v>
      </c>
      <c r="C5" t="n">
        <v>157.9</v>
      </c>
      <c r="D5" t="n">
        <v>55.8</v>
      </c>
      <c r="E5" t="n">
        <v>54.8</v>
      </c>
    </row>
    <row r="6">
      <c r="A6" t="inlineStr">
        <is>
          <t>Fresh pork</t>
        </is>
      </c>
      <c r="B6" t="n">
        <v>-57.2</v>
      </c>
      <c r="C6" t="n">
        <v>-5.6</v>
      </c>
      <c r="D6" t="n">
        <v>-4.3</v>
      </c>
      <c r="E6" t="n">
        <v>24.4</v>
      </c>
    </row>
    <row r="7">
      <c r="A7" t="inlineStr">
        <is>
          <t>Processed meat</t>
        </is>
      </c>
      <c r="B7" t="n">
        <v>35.5</v>
      </c>
      <c r="C7" t="n">
        <v>6.1</v>
      </c>
      <c r="D7" t="n">
        <v>6.2</v>
      </c>
      <c r="E7" t="n">
        <v>-12.2</v>
      </c>
    </row>
    <row r="8">
      <c r="A8" t="inlineStr">
        <is>
          <t>Meat import</t>
        </is>
      </c>
      <c r="B8" t="n">
        <v>58.2</v>
      </c>
      <c r="C8" t="n">
        <v>19.9</v>
      </c>
      <c r="D8" t="n">
        <v>15.8</v>
      </c>
      <c r="E8" t="n">
        <v>24</v>
      </c>
    </row>
    <row r="10">
      <c r="A10" s="4" t="inlineStr">
        <is>
          <t>Source tags: J1, J2</t>
        </is>
      </c>
    </row>
    <row r="11">
      <c r="A11" s="4" t="inlineStr">
        <is>
          <t>Note: Segment results before fair value adjustments, corporate items and finance costs.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China hog producers - comparison</t>
        </is>
      </c>
    </row>
    <row r="3">
      <c r="A3" s="3" t="inlineStr">
        <is>
          <t>company</t>
        </is>
      </c>
      <c r="B3" s="3" t="inlineStr">
        <is>
          <t>np_2024_rmb_bn</t>
        </is>
      </c>
      <c r="C3" s="3" t="inlineStr">
        <is>
          <t>np_2025_rmb_bn</t>
        </is>
      </c>
      <c r="D3" s="3" t="inlineStr">
        <is>
          <t>np_H1_2026_rmb_bn</t>
        </is>
      </c>
      <c r="E3" s="3" t="inlineStr">
        <is>
          <t>hogs_sold_2025_m</t>
        </is>
      </c>
      <c r="F3" s="3" t="inlineStr">
        <is>
          <t>asp_H1_2025</t>
        </is>
      </c>
      <c r="G3" s="3" t="inlineStr">
        <is>
          <t>asp_H1_2026</t>
        </is>
      </c>
    </row>
    <row r="4">
      <c r="A4" t="inlineStr">
        <is>
          <t>Muyuan</t>
        </is>
      </c>
      <c r="B4" t="n">
        <v>17.88</v>
      </c>
      <c r="C4" t="n">
        <v>15.49</v>
      </c>
      <c r="D4" t="n">
        <v>-6.2</v>
      </c>
      <c r="E4" t="n">
        <v>77.98</v>
      </c>
      <c r="F4" t="n">
        <v>14.4</v>
      </c>
      <c r="G4" t="n">
        <v>10.4</v>
      </c>
    </row>
    <row r="5">
      <c r="A5" t="inlineStr">
        <is>
          <t>Wens</t>
        </is>
      </c>
      <c r="B5" t="n">
        <v>9.279999999999999</v>
      </c>
      <c r="C5" t="n">
        <v>5.27</v>
      </c>
      <c r="D5" t="n">
        <v>-4.37</v>
      </c>
      <c r="E5" t="n">
        <v>40.48</v>
      </c>
      <c r="F5" t="n">
        <v>14.93</v>
      </c>
      <c r="G5" t="n">
        <v>10.5</v>
      </c>
    </row>
    <row r="6">
      <c r="A6" t="inlineStr">
        <is>
          <t>New Hope</t>
        </is>
      </c>
      <c r="B6" t="n">
        <v>0.47</v>
      </c>
      <c r="C6" t="n">
        <v>-1.78</v>
      </c>
      <c r="E6" t="n">
        <v>17.55</v>
      </c>
    </row>
    <row r="7">
      <c r="A7" t="inlineStr">
        <is>
          <t>COFCO Joycome</t>
        </is>
      </c>
      <c r="B7" t="n">
        <v>0.54</v>
      </c>
      <c r="C7" t="n">
        <v>-0.75</v>
      </c>
      <c r="D7" t="n">
        <v>-1.55</v>
      </c>
      <c r="F7" t="n">
        <v>14.59</v>
      </c>
      <c r="G7" t="n">
        <v>10.27</v>
      </c>
    </row>
    <row r="9">
      <c r="A9" s="4" t="inlineStr">
        <is>
          <t>Source tags: P1, P2, P3, J1, J2</t>
        </is>
      </c>
    </row>
    <row r="10">
      <c r="A10" s="4" t="inlineStr">
        <is>
          <t>Note: Net profit attributable to shareholders (after BA for Joycome). Muyuan H1 2026 = midpoint of its RMB 5.7-6.7bn loss guidance; Muyuan H1 2025 ASP derived from the ~28% decline it reported.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China breeding sow inventory, million head (NBS / MARA)</t>
        </is>
      </c>
    </row>
    <row r="3">
      <c r="A3" s="3" t="inlineStr">
        <is>
          <t>date</t>
        </is>
      </c>
      <c r="B3" s="3" t="inlineStr">
        <is>
          <t>sows_m</t>
        </is>
      </c>
      <c r="C3" s="3" t="inlineStr">
        <is>
          <t>normal_level_m</t>
        </is>
      </c>
    </row>
    <row r="4">
      <c r="A4" t="inlineStr">
        <is>
          <t>2022 peak</t>
        </is>
      </c>
      <c r="B4" t="n">
        <v>43.9</v>
      </c>
      <c r="C4" t="n">
        <v>41</v>
      </c>
    </row>
    <row r="5">
      <c r="A5" t="inlineStr">
        <is>
          <t>End-2024</t>
        </is>
      </c>
      <c r="B5" t="n">
        <v>40.79</v>
      </c>
      <c r="C5" t="n">
        <v>39</v>
      </c>
    </row>
    <row r="6">
      <c r="A6" t="inlineStr">
        <is>
          <t>End-2025</t>
        </is>
      </c>
      <c r="B6" t="n">
        <v>39.61</v>
      </c>
      <c r="C6" t="n">
        <v>39</v>
      </c>
    </row>
    <row r="7">
      <c r="A7" t="inlineStr">
        <is>
          <t>Jun-2026</t>
        </is>
      </c>
      <c r="B7" t="n">
        <v>37.8</v>
      </c>
      <c r="C7" t="n">
        <v>37.5</v>
      </c>
    </row>
    <row r="9">
      <c r="A9" s="4" t="inlineStr">
        <is>
          <t>Source tags: J1, J2</t>
        </is>
      </c>
    </row>
    <row r="10">
      <c r="A10" s="4" t="inlineStr">
        <is>
          <t>Note: Normal-level reserve as quoted by MARA guidance at each date (41.0m pre-2024 guideline). End-2024 derived from the -2.9% change.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China Mengniu Dairy - revenue and profit, RMB bn</t>
        </is>
      </c>
    </row>
    <row r="3">
      <c r="A3" s="3" t="inlineStr">
        <is>
          <t>period</t>
        </is>
      </c>
      <c r="B3" s="3" t="inlineStr">
        <is>
          <t>revenue</t>
        </is>
      </c>
      <c r="C3" s="3" t="inlineStr">
        <is>
          <t>np_attrib</t>
        </is>
      </c>
      <c r="D3" s="3" t="inlineStr">
        <is>
          <t>np_adjusted</t>
        </is>
      </c>
      <c r="E3" s="3" t="inlineStr">
        <is>
          <t>gross_margin_pct</t>
        </is>
      </c>
    </row>
    <row r="4">
      <c r="A4" t="inlineStr">
        <is>
          <t>2019</t>
        </is>
      </c>
      <c r="B4" t="n">
        <v>79.03</v>
      </c>
      <c r="C4" t="n">
        <v>4.11</v>
      </c>
    </row>
    <row r="5">
      <c r="A5" t="inlineStr">
        <is>
          <t>2020</t>
        </is>
      </c>
      <c r="B5" t="n">
        <v>76.04000000000001</v>
      </c>
      <c r="C5" t="n">
        <v>3.53</v>
      </c>
    </row>
    <row r="6">
      <c r="A6" t="inlineStr">
        <is>
          <t>2021</t>
        </is>
      </c>
      <c r="B6" t="n">
        <v>88.14</v>
      </c>
      <c r="C6" t="n">
        <v>5.03</v>
      </c>
    </row>
    <row r="7">
      <c r="A7" t="inlineStr">
        <is>
          <t>2022</t>
        </is>
      </c>
      <c r="B7" t="n">
        <v>92.59</v>
      </c>
      <c r="C7" t="n">
        <v>5.3</v>
      </c>
    </row>
    <row r="8">
      <c r="A8" t="inlineStr">
        <is>
          <t>2023</t>
        </is>
      </c>
      <c r="B8" t="n">
        <v>98.62</v>
      </c>
      <c r="C8" t="n">
        <v>4.81</v>
      </c>
    </row>
    <row r="9">
      <c r="A9" t="inlineStr">
        <is>
          <t>2024</t>
        </is>
      </c>
      <c r="B9" t="n">
        <v>88.68000000000001</v>
      </c>
      <c r="C9" t="n">
        <v>0.105</v>
      </c>
      <c r="D9" t="n">
        <v>4.435</v>
      </c>
      <c r="E9" t="n">
        <v>39.6</v>
      </c>
    </row>
    <row r="10">
      <c r="A10" t="inlineStr">
        <is>
          <t>2025</t>
        </is>
      </c>
      <c r="B10" t="n">
        <v>82.23999999999999</v>
      </c>
      <c r="C10" t="n">
        <v>1.545</v>
      </c>
      <c r="D10" t="n">
        <v>3.96</v>
      </c>
      <c r="E10" t="n">
        <v>39.9</v>
      </c>
    </row>
    <row r="11">
      <c r="A11" t="inlineStr">
        <is>
          <t>H1 2025</t>
        </is>
      </c>
      <c r="B11" t="n">
        <v>41.57</v>
      </c>
      <c r="C11" t="n">
        <v>2.046</v>
      </c>
      <c r="E11" t="n">
        <v>41.7</v>
      </c>
    </row>
    <row r="12">
      <c r="A12" t="inlineStr">
        <is>
          <t>H1 2026</t>
        </is>
      </c>
      <c r="B12" t="n">
        <v>44.79</v>
      </c>
      <c r="C12" t="n">
        <v>2.371</v>
      </c>
      <c r="E12" t="n">
        <v>40.8</v>
      </c>
    </row>
    <row r="14">
      <c r="A14" s="4" t="inlineStr">
        <is>
          <t>Source tags: D1, D2, D3, D4</t>
        </is>
      </c>
    </row>
    <row r="15">
      <c r="A15" s="4" t="inlineStr">
        <is>
          <t>Note: Adjusted profit excludes the Bellamy's impairment (2024: RMB 3.98bn) and associate one-offs (Mengniu's own definition).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Mengniu revenue by segment, RMB m</t>
        </is>
      </c>
    </row>
    <row r="3">
      <c r="A3" s="3" t="inlineStr">
        <is>
          <t>segment</t>
        </is>
      </c>
      <c r="B3" s="3" t="inlineStr">
        <is>
          <t>FY2024</t>
        </is>
      </c>
      <c r="C3" s="3" t="inlineStr">
        <is>
          <t>FY2025</t>
        </is>
      </c>
      <c r="D3" s="3" t="inlineStr">
        <is>
          <t>H1_2025</t>
        </is>
      </c>
      <c r="E3" s="3" t="inlineStr">
        <is>
          <t>H1_2026</t>
        </is>
      </c>
    </row>
    <row r="4">
      <c r="A4" t="inlineStr">
        <is>
          <t>Liquid milk</t>
        </is>
      </c>
      <c r="B4" t="n">
        <v>73066</v>
      </c>
      <c r="C4" t="n">
        <v>64939</v>
      </c>
      <c r="D4" t="n">
        <v>32192</v>
      </c>
      <c r="E4" t="n">
        <v>33865</v>
      </c>
    </row>
    <row r="5">
      <c r="A5" t="inlineStr">
        <is>
          <t>Ice cream</t>
        </is>
      </c>
      <c r="B5" t="n">
        <v>5175</v>
      </c>
      <c r="C5" t="n">
        <v>5393</v>
      </c>
      <c r="D5" t="n">
        <v>3879</v>
      </c>
      <c r="E5" t="n">
        <v>4207</v>
      </c>
    </row>
    <row r="6">
      <c r="A6" t="inlineStr">
        <is>
          <t>Cheese</t>
        </is>
      </c>
      <c r="B6" t="n">
        <v>4320</v>
      </c>
      <c r="C6" t="n">
        <v>5266</v>
      </c>
      <c r="D6" t="n">
        <v>2374</v>
      </c>
      <c r="E6" t="n">
        <v>3148</v>
      </c>
    </row>
    <row r="7">
      <c r="A7" t="inlineStr">
        <is>
          <t>Milk formula &amp; others</t>
        </is>
      </c>
      <c r="B7" t="n">
        <v>6114</v>
      </c>
      <c r="C7" t="n">
        <v>6647</v>
      </c>
      <c r="D7" t="n">
        <v>3122</v>
      </c>
      <c r="E7" t="n">
        <v>3575</v>
      </c>
    </row>
    <row r="9">
      <c r="A9" s="4" t="inlineStr">
        <is>
          <t>Source tags: D1, D2</t>
        </is>
      </c>
    </row>
    <row r="10">
      <c r="A10" s="4" t="inlineStr">
        <is>
          <t>Note: H1 'Milk formula &amp; others' = total less the three named segments.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Mengniu vs Yili - revenue and attributable net profit, RMB bn</t>
        </is>
      </c>
    </row>
    <row r="3">
      <c r="A3" s="3" t="inlineStr">
        <is>
          <t>year</t>
        </is>
      </c>
      <c r="B3" s="3" t="inlineStr">
        <is>
          <t>mengniu_rev</t>
        </is>
      </c>
      <c r="C3" s="3" t="inlineStr">
        <is>
          <t>yili_rev</t>
        </is>
      </c>
      <c r="D3" s="3" t="inlineStr">
        <is>
          <t>mengniu_np</t>
        </is>
      </c>
      <c r="E3" s="3" t="inlineStr">
        <is>
          <t>yili_np</t>
        </is>
      </c>
    </row>
    <row r="4">
      <c r="A4" t="n">
        <v>2019</v>
      </c>
      <c r="B4" t="n">
        <v>79.03</v>
      </c>
      <c r="C4" t="n">
        <v>90.22</v>
      </c>
      <c r="D4" t="n">
        <v>4.11</v>
      </c>
      <c r="E4" t="n">
        <v>6.93</v>
      </c>
    </row>
    <row r="5">
      <c r="A5" t="n">
        <v>2020</v>
      </c>
      <c r="B5" t="n">
        <v>76.04000000000001</v>
      </c>
      <c r="C5" t="n">
        <v>96.89</v>
      </c>
      <c r="D5" t="n">
        <v>3.53</v>
      </c>
      <c r="E5" t="n">
        <v>7.08</v>
      </c>
    </row>
    <row r="6">
      <c r="A6" t="n">
        <v>2021</v>
      </c>
      <c r="B6" t="n">
        <v>88.14</v>
      </c>
      <c r="C6" t="n">
        <v>110.6</v>
      </c>
      <c r="D6" t="n">
        <v>5.03</v>
      </c>
      <c r="E6" t="n">
        <v>8.699999999999999</v>
      </c>
    </row>
    <row r="7">
      <c r="A7" t="n">
        <v>2022</v>
      </c>
      <c r="B7" t="n">
        <v>92.59</v>
      </c>
      <c r="C7" t="n">
        <v>123.17</v>
      </c>
      <c r="D7" t="n">
        <v>5.3</v>
      </c>
      <c r="E7" t="n">
        <v>9.43</v>
      </c>
    </row>
    <row r="8">
      <c r="A8" t="n">
        <v>2023</v>
      </c>
      <c r="B8" t="n">
        <v>98.62</v>
      </c>
      <c r="C8" t="n">
        <v>126.18</v>
      </c>
      <c r="D8" t="n">
        <v>4.81</v>
      </c>
      <c r="E8" t="n">
        <v>10.43</v>
      </c>
    </row>
    <row r="9">
      <c r="A9" t="n">
        <v>2024</v>
      </c>
      <c r="B9" t="n">
        <v>88.68000000000001</v>
      </c>
      <c r="C9" t="n">
        <v>115.78</v>
      </c>
      <c r="D9" t="n">
        <v>0.105</v>
      </c>
      <c r="E9" t="n">
        <v>8.449999999999999</v>
      </c>
    </row>
    <row r="10">
      <c r="A10" t="n">
        <v>2025</v>
      </c>
      <c r="B10" t="n">
        <v>82.23999999999999</v>
      </c>
      <c r="C10" t="n">
        <v>115.93</v>
      </c>
      <c r="D10" t="n">
        <v>1.545</v>
      </c>
      <c r="E10" t="n">
        <v>11.57</v>
      </c>
    </row>
    <row r="12">
      <c r="A12" s="4" t="inlineStr">
        <is>
          <t>Source tags: D1, D5, D6</t>
        </is>
      </c>
    </row>
    <row r="13">
      <c r="A13" s="4" t="inlineStr">
        <is>
          <t>Note: H1 2026: Yili revenue RMB 64.5bn (+4.1%), net profit RMB 5.76bn (-20.0%, goodwill impairment on Ausnutria); Mengniu +7.8% / +15.9%.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Computed ratios (live formulas)</t>
        </is>
      </c>
    </row>
    <row r="3">
      <c r="A3" t="inlineStr">
        <is>
          <t>Grain traders net margin %</t>
        </is>
      </c>
      <c r="B3" t="inlineStr">
        <is>
          <t>2021</t>
        </is>
      </c>
      <c r="C3" t="inlineStr">
        <is>
          <t>2022</t>
        </is>
      </c>
      <c r="D3" t="inlineStr">
        <is>
          <t>2023</t>
        </is>
      </c>
      <c r="E3" t="inlineStr">
        <is>
          <t>2024</t>
        </is>
      </c>
      <c r="F3" t="inlineStr">
        <is>
          <t>2025</t>
        </is>
      </c>
    </row>
    <row r="4">
      <c r="A4">
        <f>traders!A4</f>
        <v/>
      </c>
      <c r="B4">
        <f>traders!G4/traders!B4*100</f>
        <v/>
      </c>
      <c r="C4">
        <f>traders!H4/traders!C4*100</f>
        <v/>
      </c>
      <c r="D4">
        <f>traders!I4/traders!D4*100</f>
        <v/>
      </c>
      <c r="E4">
        <f>traders!J4/traders!E4*100</f>
        <v/>
      </c>
      <c r="F4">
        <f>traders!K4/traders!F4*100</f>
        <v/>
      </c>
    </row>
    <row r="5">
      <c r="A5">
        <f>traders!A5</f>
        <v/>
      </c>
      <c r="B5">
        <f>traders!G5/traders!B5*100</f>
        <v/>
      </c>
      <c r="C5">
        <f>traders!H5/traders!C5*100</f>
        <v/>
      </c>
      <c r="D5">
        <f>traders!I5/traders!D5*100</f>
        <v/>
      </c>
      <c r="E5">
        <f>traders!J5/traders!E5*100</f>
        <v/>
      </c>
      <c r="F5">
        <f>traders!K5/traders!F5*100</f>
        <v/>
      </c>
    </row>
    <row r="6">
      <c r="A6">
        <f>traders!A6</f>
        <v/>
      </c>
      <c r="B6">
        <f>traders!G6/traders!B6*100</f>
        <v/>
      </c>
      <c r="C6">
        <f>traders!H6/traders!C6*100</f>
        <v/>
      </c>
      <c r="D6">
        <f>traders!I6/traders!D6*100</f>
        <v/>
      </c>
      <c r="E6">
        <f>traders!J6/traders!E6*100</f>
        <v/>
      </c>
      <c r="F6">
        <f>traders!K6/traders!F6*100</f>
        <v/>
      </c>
    </row>
    <row r="7">
      <c r="A7">
        <f>traders!A7</f>
        <v/>
      </c>
      <c r="B7">
        <f>traders!G7/traders!B7*100</f>
        <v/>
      </c>
      <c r="C7">
        <f>traders!H7/traders!C7*100</f>
        <v/>
      </c>
      <c r="D7">
        <f>traders!I7/traders!D7*100</f>
        <v/>
      </c>
      <c r="E7">
        <f>traders!J7/traders!E7*100</f>
        <v/>
      </c>
      <c r="F7">
        <f>traders!K7/traders!F7*100</f>
        <v/>
      </c>
    </row>
    <row r="9">
      <c r="A9" t="inlineStr">
        <is>
          <t>COFCO group pre-tax margin %</t>
        </is>
      </c>
      <c r="B9" t="inlineStr">
        <is>
          <t>2021</t>
        </is>
      </c>
      <c r="C9" t="inlineStr">
        <is>
          <t>2022</t>
        </is>
      </c>
      <c r="D9" t="inlineStr">
        <is>
          <t>2023</t>
        </is>
      </c>
      <c r="E9" t="inlineStr">
        <is>
          <t>2024</t>
        </is>
      </c>
      <c r="F9" t="inlineStr">
        <is>
          <t>2025</t>
        </is>
      </c>
    </row>
    <row r="10">
      <c r="A10" t="inlineStr">
        <is>
          <t>COFCO</t>
        </is>
      </c>
      <c r="B10">
        <f>group_financials!C4/group_financials!B4*100</f>
        <v/>
      </c>
      <c r="C10">
        <f>group_financials!C5/group_financials!B5*100</f>
        <v/>
      </c>
      <c r="D10">
        <f>group_financials!C6/group_financials!B6*100</f>
        <v/>
      </c>
      <c r="E10">
        <f>group_financials!C7/group_financials!B7*100</f>
        <v/>
      </c>
      <c r="F10">
        <f>group_financials!C8/group_financials!B8*100</f>
        <v/>
      </c>
    </row>
    <row r="12">
      <c r="A12" t="inlineStr">
        <is>
          <t>Joycome profit before BA margin %</t>
        </is>
      </c>
      <c r="B12" t="inlineStr">
        <is>
          <t>2019</t>
        </is>
      </c>
      <c r="C12" t="inlineStr">
        <is>
          <t>2020</t>
        </is>
      </c>
      <c r="D12" t="inlineStr">
        <is>
          <t>2021</t>
        </is>
      </c>
      <c r="E12" t="inlineStr">
        <is>
          <t>2022</t>
        </is>
      </c>
      <c r="F12" t="inlineStr">
        <is>
          <t>2023</t>
        </is>
      </c>
      <c r="G12" t="inlineStr">
        <is>
          <t>2024</t>
        </is>
      </c>
      <c r="H12" t="inlineStr">
        <is>
          <t>2025</t>
        </is>
      </c>
      <c r="I12" t="inlineStr">
        <is>
          <t>H1 2025</t>
        </is>
      </c>
      <c r="J12" t="inlineStr">
        <is>
          <t>H1 2026</t>
        </is>
      </c>
    </row>
    <row r="13">
      <c r="A13" t="inlineStr">
        <is>
          <t>Joycome</t>
        </is>
      </c>
      <c r="B13">
        <f>joycome!C4/joycome!B4*100</f>
        <v/>
      </c>
      <c r="C13">
        <f>joycome!C5/joycome!B5*100</f>
        <v/>
      </c>
      <c r="D13">
        <f>joycome!C6/joycome!B6*100</f>
        <v/>
      </c>
      <c r="E13">
        <f>joycome!C7/joycome!B7*100</f>
        <v/>
      </c>
      <c r="F13">
        <f>joycome!C8/joycome!B8*100</f>
        <v/>
      </c>
      <c r="G13">
        <f>joycome!C9/joycome!B9*100</f>
        <v/>
      </c>
      <c r="H13">
        <f>joycome!C10/joycome!B10*100</f>
        <v/>
      </c>
      <c r="I13">
        <f>joycome!C11/joycome!B11*100</f>
        <v/>
      </c>
      <c r="J13">
        <f>joycome!C12/joycome!B12*100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2025</t>
        </is>
      </c>
      <c r="I1" t="inlineStr">
        <is>
          <t>H1 2026</t>
        </is>
      </c>
      <c r="J1" t="inlineStr">
        <is>
          <t>2027E</t>
        </is>
      </c>
    </row>
    <row r="2">
      <c r="A2" t="inlineStr">
        <is>
          <t>Grains &amp; oilseeds</t>
        </is>
      </c>
      <c r="B2" t="n">
        <v>0</v>
      </c>
      <c r="C2" t="n">
        <v>1</v>
      </c>
      <c r="D2" t="n">
        <v>2</v>
      </c>
      <c r="E2" t="n">
        <v>2</v>
      </c>
      <c r="F2" t="n">
        <v>1</v>
      </c>
      <c r="G2" t="n">
        <v>-1</v>
      </c>
      <c r="H2" t="n">
        <v>-1</v>
      </c>
      <c r="I2" t="n">
        <v>-1</v>
      </c>
      <c r="J2" t="n">
        <v>0</v>
      </c>
    </row>
    <row r="3">
      <c r="A3" t="inlineStr">
        <is>
          <t>Pork (Joycome)</t>
        </is>
      </c>
      <c r="B3" t="n">
        <v>1</v>
      </c>
      <c r="C3" t="n">
        <v>2</v>
      </c>
      <c r="D3" t="n">
        <v>0</v>
      </c>
      <c r="E3" t="n">
        <v>-1</v>
      </c>
      <c r="F3" t="n">
        <v>-1</v>
      </c>
      <c r="G3" t="n">
        <v>1</v>
      </c>
      <c r="H3" t="n">
        <v>-1</v>
      </c>
      <c r="I3" t="n">
        <v>-2</v>
      </c>
      <c r="J3" t="n">
        <v>1</v>
      </c>
    </row>
    <row r="4">
      <c r="A4" t="inlineStr">
        <is>
          <t>Dairy (Mengniu)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-2</v>
      </c>
      <c r="H4" t="n">
        <v>-1</v>
      </c>
      <c r="I4" t="n">
        <v>0</v>
      </c>
      <c r="J4" t="n">
        <v>1</v>
      </c>
    </row>
    <row r="6">
      <c r="A6" t="inlineStr">
        <is>
          <t>Scale: -2 deep trough, -1 weak, 0 neutral, +1 good, +2 boom. Analyst judgement.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2026-10-13T12:41:12Z</dcterms:created>
  <dcterms:modified xmlns:dcterms="http://purl.org/dc/terms/" xmlns:xsi="http://www.w3.org/2001/XMLSchema-instance" xsi:type="dcterms:W3CDTF">2026-10-13T12:41:12Z</dcterms:modified>
</cp:coreProperties>
</file>